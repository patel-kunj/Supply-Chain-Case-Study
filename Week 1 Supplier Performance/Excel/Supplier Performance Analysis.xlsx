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892a12f65e171249/Desktop/Supply Chain Risk Analysis/supply-chain-kpi-risk-framework/weeks/01_supplier_performance/excel/"/>
    </mc:Choice>
  </mc:AlternateContent>
  <xr:revisionPtr revIDLastSave="751" documentId="8_{930E19E5-6969-4038-AB5B-D60CF4379C74}" xr6:coauthVersionLast="47" xr6:coauthVersionMax="47" xr10:uidLastSave="{553BCD7F-7C73-41D7-94DD-AF52FA9974BC}"/>
  <bookViews>
    <workbookView xWindow="-105" yWindow="0" windowWidth="19560" windowHeight="16305" tabRatio="790" firstSheet="3" activeTab="10" xr2:uid="{F406B612-9A3C-45CF-9CCE-562BD5630241}"/>
  </bookViews>
  <sheets>
    <sheet name="RFQ_Data" sheetId="15" r:id="rId1"/>
    <sheet name="PO_Data" sheetId="2" r:id="rId2"/>
    <sheet name="Receiving_Data" sheetId="7" r:id="rId3"/>
    <sheet name="Sourcing_Data" sheetId="13" r:id="rId4"/>
    <sheet name="OTD_OTIF" sheetId="3" r:id="rId5"/>
    <sheet name="Lead_Time" sheetId="4" r:id="rId6"/>
    <sheet name="PPM" sheetId="8" r:id="rId7"/>
    <sheet name="PPV" sheetId="9" r:id="rId8"/>
    <sheet name="Savings" sheetId="14" r:id="rId9"/>
    <sheet name="TCO_Evaluator" sheetId="16" r:id="rId10"/>
    <sheet name="Scorecard" sheetId="17" r:id="rId11"/>
  </sheets>
  <definedNames>
    <definedName name="_xlnm._FilterDatabase" localSheetId="5" hidden="1">Lead_Time!$A$3:$D$23</definedName>
    <definedName name="ExternalData_1" localSheetId="1" hidden="1">PO_Data!$A$1:$Y$473</definedName>
    <definedName name="ExternalData_1" localSheetId="3" hidden="1">Sourcing_Data!$A$1:$P$15</definedName>
    <definedName name="ExternalData_2" localSheetId="2" hidden="1">'Receiving_Data'!$A$1:$M$451</definedName>
    <definedName name="ExternalData_2" localSheetId="0" hidden="1">'RFQ_Data'!$A$1:$O$24</definedName>
    <definedName name="Slicer_material_category">#N/A</definedName>
  </definedNames>
  <calcPr calcId="191029" fullCalcOnLoad="1"/>
  <pivotCaches>
    <pivotCache cacheId="0" r:id="rId12"/>
    <pivotCache cacheId="1" r:id="rId13"/>
    <pivotCache cacheId="2"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ceiving_Data_e1c21df7-297f-4d80-b270-055544ccc9f1" name="Receiving_Data" connection="Query - Receiving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3CBDE77-6AFD-4F59-B12A-973D7443DD1A}" keepAlive="1" name="ModelConnection_ExternalData_2" description="Data Model" type="5" refreshedVersion="8" minRefreshableVersion="5" saveData="1">
    <dbPr connection="Data Model Connection" command="Receiving_Data" commandType="3"/>
    <extLst>
      <ext xmlns:x15="http://schemas.microsoft.com/office/spreadsheetml/2010/11/main" uri="{DE250136-89BD-433C-8126-D09CA5730AF9}">
        <x15:connection id="" model="1"/>
      </ext>
    </extLst>
  </connection>
  <connection id="2" xr16:uid="{F6EE2D3B-6119-46E3-8D0F-8A0C0F0AF47E}" keepAlive="1" name="Query - PO_Data" description="Connection to the 'PO_Data' query in the workbook." type="5" refreshedVersion="8" background="1" saveData="1">
    <dbPr connection="Provider=Microsoft.Mashup.OleDb.1;Data Source=$Workbook$;Location=PO_Data;Extended Properties=&quot;&quot;" command="SELECT * FROM [PO_Data]"/>
  </connection>
  <connection id="3" xr16:uid="{648538FE-B97A-4C22-BFA1-0FDA728984D5}" name="Query - Receiving_Data" description="Connection to the 'Receiving_Data' query in the workbook." type="100" refreshedVersion="8" minRefreshableVersion="5">
    <extLst>
      <ext xmlns:x15="http://schemas.microsoft.com/office/spreadsheetml/2010/11/main" uri="{DE250136-89BD-433C-8126-D09CA5730AF9}">
        <x15:connection id="0711329f-30b0-4156-ab0f-81f4dc51e26e"/>
      </ext>
    </extLst>
  </connection>
  <connection id="4" xr16:uid="{BE8A1B7A-F399-41BC-B99D-99DA38ED752E}" keepAlive="1" name="Query - RFQ_Data" description="Connection to the 'RFQ_Data' query in the workbook." type="5" refreshedVersion="8" background="1" saveData="1">
    <dbPr connection="Provider=Microsoft.Mashup.OleDb.1;Data Source=$Workbook$;Location=RFQ_Data;Extended Properties=&quot;&quot;" command="SELECT * FROM [RFQ_Data]"/>
  </connection>
  <connection id="5" xr16:uid="{7E53E75E-5AA1-481C-B318-861FB875B836}" keepAlive="1" name="Query - Sourcing_Data" description="Connection to the 'Sourcing_Data' query in the workbook." type="5" refreshedVersion="8" background="1" saveData="1">
    <dbPr connection="Provider=Microsoft.Mashup.OleDb.1;Data Source=$Workbook$;Location=Sourcing_Data;Extended Properties=&quot;&quot;" command="SELECT * FROM [Sourcing_Data]"/>
  </connection>
  <connection id="6" xr16:uid="{FCF148D6-DEF8-4A25-BEAC-3DB3A39ACAEB}" keepAlive="1" name="Query - tbl_Materials" description="Connection to the 'tbl_Materials' query in the workbook." type="5" refreshedVersion="8" background="1" saveData="1">
    <dbPr connection="Provider=Microsoft.Mashup.OleDb.1;Data Source=$Workbook$;Location=tbl_Materials;Extended Properties=&quot;&quot;" command="SELECT * FROM [tbl_Materials]"/>
  </connection>
  <connection id="7" xr16:uid="{90C2D7F2-C959-4271-9AF3-04CF127DDC0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<sst xmlns="http://schemas.openxmlformats.org/spreadsheetml/2006/main" count="8806" uniqueCount="1244">
  <si>
    <t>po_id</t>
  </si>
  <si>
    <t>material_id</t>
  </si>
  <si>
    <t>material_name</t>
  </si>
  <si>
    <t>material_category</t>
  </si>
  <si>
    <t>uom</t>
  </si>
  <si>
    <t>supplier_id</t>
  </si>
  <si>
    <t>supplier_name</t>
  </si>
  <si>
    <t>requisition_date</t>
  </si>
  <si>
    <t>po_date</t>
  </si>
  <si>
    <t>order_qty</t>
  </si>
  <si>
    <t>unit_price</t>
  </si>
  <si>
    <t>std_cost</t>
  </si>
  <si>
    <t>promised_date</t>
  </si>
  <si>
    <t>receipt_date</t>
  </si>
  <si>
    <t>received_qty</t>
  </si>
  <si>
    <t>po_type</t>
  </si>
  <si>
    <t>On_Time</t>
  </si>
  <si>
    <t>In_Full</t>
  </si>
  <si>
    <t>OTIF</t>
  </si>
  <si>
    <t>Lead_Time_Days</t>
  </si>
  <si>
    <t>Order_Year</t>
  </si>
  <si>
    <t>Order_Month</t>
  </si>
  <si>
    <t>Spend_USD</t>
  </si>
  <si>
    <t>Std_Value_USD</t>
  </si>
  <si>
    <t>PPV_USD</t>
  </si>
  <si>
    <t>PO000001</t>
  </si>
  <si>
    <t>M01</t>
  </si>
  <si>
    <t>300mm prime silicon wafer</t>
  </si>
  <si>
    <t>Silicon wafers</t>
  </si>
  <si>
    <t>wafer</t>
  </si>
  <si>
    <t>S01</t>
  </si>
  <si>
    <t>Kirin Silicon Works</t>
  </si>
  <si>
    <t>Standard</t>
  </si>
  <si>
    <t>PO000002</t>
  </si>
  <si>
    <t>M02</t>
  </si>
  <si>
    <t>ArF immersion photoresist</t>
  </si>
  <si>
    <t>Photoresist</t>
  </si>
  <si>
    <t>liter</t>
  </si>
  <si>
    <t>S03</t>
  </si>
  <si>
    <t>Hokuto Photochem</t>
  </si>
  <si>
    <t>PO000003</t>
  </si>
  <si>
    <t>M03</t>
  </si>
  <si>
    <t>TMAH developer</t>
  </si>
  <si>
    <t>Wet chemicals</t>
  </si>
  <si>
    <t>S06</t>
  </si>
  <si>
    <t>Pacific Electrochem</t>
  </si>
  <si>
    <t>PO000004</t>
  </si>
  <si>
    <t>M04</t>
  </si>
  <si>
    <t>Neon excimer laser gas</t>
  </si>
  <si>
    <t>Specialty gases</t>
  </si>
  <si>
    <t>cylinder</t>
  </si>
  <si>
    <t>S05</t>
  </si>
  <si>
    <t>Danube Rare Gases</t>
  </si>
  <si>
    <t>PO000005</t>
  </si>
  <si>
    <t>M05</t>
  </si>
  <si>
    <t>Nitrogen trifluoride (NF3)</t>
  </si>
  <si>
    <t>kg</t>
  </si>
  <si>
    <t>S07</t>
  </si>
  <si>
    <t>Hanbit Industrial Gas</t>
  </si>
  <si>
    <t>PO000006</t>
  </si>
  <si>
    <t>M06</t>
  </si>
  <si>
    <t>Tungsten hexafluoride (WF6)</t>
  </si>
  <si>
    <t>PO000007</t>
  </si>
  <si>
    <t>M07</t>
  </si>
  <si>
    <t>Silane (SiH4)</t>
  </si>
  <si>
    <t>S08</t>
  </si>
  <si>
    <t>Lone Star Gas Supply</t>
  </si>
  <si>
    <t>PO000008</t>
  </si>
  <si>
    <t>M08</t>
  </si>
  <si>
    <t>Ultra pure sulfuric acid</t>
  </si>
  <si>
    <t>S09</t>
  </si>
  <si>
    <t>Taoyuan Fine Chemicals</t>
  </si>
  <si>
    <t>PO000009</t>
  </si>
  <si>
    <t>M09</t>
  </si>
  <si>
    <t>Electronic grade HF</t>
  </si>
  <si>
    <t>PO000010</t>
  </si>
  <si>
    <t>M10</t>
  </si>
  <si>
    <t>Oxide CMP slurry</t>
  </si>
  <si>
    <t>CMP consumables</t>
  </si>
  <si>
    <t>S10</t>
  </si>
  <si>
    <t>Cascade Planarization</t>
  </si>
  <si>
    <t>PO000011</t>
  </si>
  <si>
    <t>M11</t>
  </si>
  <si>
    <t>CMP polishing pad</t>
  </si>
  <si>
    <t>each</t>
  </si>
  <si>
    <t>PO000012</t>
  </si>
  <si>
    <t>M12</t>
  </si>
  <si>
    <t>Copper / titanium target</t>
  </si>
  <si>
    <t>Sputtering targets</t>
  </si>
  <si>
    <t>S11</t>
  </si>
  <si>
    <t>Sakura Targets</t>
  </si>
  <si>
    <t>PO000013</t>
  </si>
  <si>
    <t>M13</t>
  </si>
  <si>
    <t>Hafnium ALD precursor</t>
  </si>
  <si>
    <t>ALD precursors</t>
  </si>
  <si>
    <t>S12</t>
  </si>
  <si>
    <t>Elbe Precursor GmbH</t>
  </si>
  <si>
    <t>PO000014</t>
  </si>
  <si>
    <t>M14</t>
  </si>
  <si>
    <t>Etch chamber quartz kit</t>
  </si>
  <si>
    <t>Chamber parts</t>
  </si>
  <si>
    <t>kit</t>
  </si>
  <si>
    <t>S13</t>
  </si>
  <si>
    <t>Quartzline Components</t>
  </si>
  <si>
    <t>PO000015</t>
  </si>
  <si>
    <t>M15</t>
  </si>
  <si>
    <t>Litho stage spare kit</t>
  </si>
  <si>
    <t>Litho spare parts</t>
  </si>
  <si>
    <t>S14</t>
  </si>
  <si>
    <t>Veldhoven Litho Service</t>
  </si>
  <si>
    <t>PO000016</t>
  </si>
  <si>
    <t>M16</t>
  </si>
  <si>
    <t>FBGA package substrate</t>
  </si>
  <si>
    <t>Package substrates</t>
  </si>
  <si>
    <t>S15</t>
  </si>
  <si>
    <t>Hsinchu Substrate Co</t>
  </si>
  <si>
    <t>PO000017</t>
  </si>
  <si>
    <t>M17</t>
  </si>
  <si>
    <t>Copper bonding wire</t>
  </si>
  <si>
    <t>Bonding &amp; mold</t>
  </si>
  <si>
    <t>meter</t>
  </si>
  <si>
    <t>S16</t>
  </si>
  <si>
    <t>Penang Bond Materials</t>
  </si>
  <si>
    <t>PO000018</t>
  </si>
  <si>
    <t>M18</t>
  </si>
  <si>
    <t>Epoxy mold compound</t>
  </si>
  <si>
    <t>gram</t>
  </si>
  <si>
    <t>PO000019</t>
  </si>
  <si>
    <t>M19</t>
  </si>
  <si>
    <t>Wafer probe card</t>
  </si>
  <si>
    <t>Probe cards</t>
  </si>
  <si>
    <t>S17</t>
  </si>
  <si>
    <t>Probecard Dynamics</t>
  </si>
  <si>
    <t>PO000020</t>
  </si>
  <si>
    <t>M20</t>
  </si>
  <si>
    <t>HBM underfill and interposer kit</t>
  </si>
  <si>
    <t>Underfill</t>
  </si>
  <si>
    <t>S18</t>
  </si>
  <si>
    <t>Kyushu Underfill</t>
  </si>
  <si>
    <t>PO000021</t>
  </si>
  <si>
    <t>M21</t>
  </si>
  <si>
    <t>JEDEC tray and reel set</t>
  </si>
  <si>
    <t>Trays &amp; reels</t>
  </si>
  <si>
    <t>S19</t>
  </si>
  <si>
    <t>Boise Pack Solutions</t>
  </si>
  <si>
    <t>PO000022</t>
  </si>
  <si>
    <t>PO000023</t>
  </si>
  <si>
    <t>PO000024</t>
  </si>
  <si>
    <t>PO000025</t>
  </si>
  <si>
    <t>S02</t>
  </si>
  <si>
    <t>Formosa Wafer Corp</t>
  </si>
  <si>
    <t>PO000026</t>
  </si>
  <si>
    <t>PO000027</t>
  </si>
  <si>
    <t>PO000028</t>
  </si>
  <si>
    <t>PO000029</t>
  </si>
  <si>
    <t>PO000030</t>
  </si>
  <si>
    <t>PO000031</t>
  </si>
  <si>
    <t>PO000032</t>
  </si>
  <si>
    <t>PO000033</t>
  </si>
  <si>
    <t>PO000034</t>
  </si>
  <si>
    <t>PO000035</t>
  </si>
  <si>
    <t>PO000036</t>
  </si>
  <si>
    <t>PO000037</t>
  </si>
  <si>
    <t>PO000038</t>
  </si>
  <si>
    <t>PO000039</t>
  </si>
  <si>
    <t>PO000040</t>
  </si>
  <si>
    <t>PO000041</t>
  </si>
  <si>
    <t>PO000042</t>
  </si>
  <si>
    <t>PO000043</t>
  </si>
  <si>
    <t>PO000044</t>
  </si>
  <si>
    <t>PO000045</t>
  </si>
  <si>
    <t>PO000046</t>
  </si>
  <si>
    <t>PO000047</t>
  </si>
  <si>
    <t>PO000048</t>
  </si>
  <si>
    <t>PO000049</t>
  </si>
  <si>
    <t>PO000050</t>
  </si>
  <si>
    <t>PO000051</t>
  </si>
  <si>
    <t>PO000052</t>
  </si>
  <si>
    <t>PO000053</t>
  </si>
  <si>
    <t>PO000054</t>
  </si>
  <si>
    <t>PO000055</t>
  </si>
  <si>
    <t>PO000056</t>
  </si>
  <si>
    <t>PO000057</t>
  </si>
  <si>
    <t>PO000058</t>
  </si>
  <si>
    <t>PO000059</t>
  </si>
  <si>
    <t>PO000060</t>
  </si>
  <si>
    <t>PO000061</t>
  </si>
  <si>
    <t>PO000062</t>
  </si>
  <si>
    <t>PO000063</t>
  </si>
  <si>
    <t>PO000064</t>
  </si>
  <si>
    <t>PO000065</t>
  </si>
  <si>
    <t>PO000066</t>
  </si>
  <si>
    <t>PO000067</t>
  </si>
  <si>
    <t>PO000068</t>
  </si>
  <si>
    <t>PO000069</t>
  </si>
  <si>
    <t>PO000070</t>
  </si>
  <si>
    <t>PO000071</t>
  </si>
  <si>
    <t>PO000072</t>
  </si>
  <si>
    <t>PO000073</t>
  </si>
  <si>
    <t>PO000074</t>
  </si>
  <si>
    <t>PO000075</t>
  </si>
  <si>
    <t>PO000076</t>
  </si>
  <si>
    <t>PO000077</t>
  </si>
  <si>
    <t>PO000078</t>
  </si>
  <si>
    <t>PO000079</t>
  </si>
  <si>
    <t>PO000080</t>
  </si>
  <si>
    <t>PO000081</t>
  </si>
  <si>
    <t>PO000082</t>
  </si>
  <si>
    <t>PO000083</t>
  </si>
  <si>
    <t>PO000084</t>
  </si>
  <si>
    <t>PO000085</t>
  </si>
  <si>
    <t>PO000086</t>
  </si>
  <si>
    <t>PO000087</t>
  </si>
  <si>
    <t>Expedite</t>
  </si>
  <si>
    <t>PO000088</t>
  </si>
  <si>
    <t>PO000089</t>
  </si>
  <si>
    <t>PO000090</t>
  </si>
  <si>
    <t>PO000091</t>
  </si>
  <si>
    <t>PO000092</t>
  </si>
  <si>
    <t>PO000093</t>
  </si>
  <si>
    <t>PO000094</t>
  </si>
  <si>
    <t>PO000095</t>
  </si>
  <si>
    <t>PO000096</t>
  </si>
  <si>
    <t>PO000097</t>
  </si>
  <si>
    <t>PO000098</t>
  </si>
  <si>
    <t>PO000099</t>
  </si>
  <si>
    <t>PO000100</t>
  </si>
  <si>
    <t>PO000101</t>
  </si>
  <si>
    <t>PO000102</t>
  </si>
  <si>
    <t>PO000103</t>
  </si>
  <si>
    <t>PO000104</t>
  </si>
  <si>
    <t>PO000105</t>
  </si>
  <si>
    <t>PO000106</t>
  </si>
  <si>
    <t>PO000107</t>
  </si>
  <si>
    <t>PO000108</t>
  </si>
  <si>
    <t>PO000109</t>
  </si>
  <si>
    <t>PO000110</t>
  </si>
  <si>
    <t>PO000111</t>
  </si>
  <si>
    <t>PO000112</t>
  </si>
  <si>
    <t>PO000113</t>
  </si>
  <si>
    <t>PO000114</t>
  </si>
  <si>
    <t>PO000115</t>
  </si>
  <si>
    <t>PO000116</t>
  </si>
  <si>
    <t>PO000117</t>
  </si>
  <si>
    <t>PO000118</t>
  </si>
  <si>
    <t>PO000119</t>
  </si>
  <si>
    <t>PO000120</t>
  </si>
  <si>
    <t>PO000121</t>
  </si>
  <si>
    <t>PO000122</t>
  </si>
  <si>
    <t>PO000123</t>
  </si>
  <si>
    <t>PO000124</t>
  </si>
  <si>
    <t>PO000125</t>
  </si>
  <si>
    <t>PO000126</t>
  </si>
  <si>
    <t>PO000127</t>
  </si>
  <si>
    <t>PO000128</t>
  </si>
  <si>
    <t>PO000129</t>
  </si>
  <si>
    <t>PO000130</t>
  </si>
  <si>
    <t>PO000131</t>
  </si>
  <si>
    <t>PO000132</t>
  </si>
  <si>
    <t>PO000133</t>
  </si>
  <si>
    <t>PO000134</t>
  </si>
  <si>
    <t>PO000135</t>
  </si>
  <si>
    <t>PO000136</t>
  </si>
  <si>
    <t>PO000137</t>
  </si>
  <si>
    <t>PO000138</t>
  </si>
  <si>
    <t>PO000139</t>
  </si>
  <si>
    <t>PO000140</t>
  </si>
  <si>
    <t>PO000141</t>
  </si>
  <si>
    <t>PO000142</t>
  </si>
  <si>
    <t>PO000143</t>
  </si>
  <si>
    <t>PO000144</t>
  </si>
  <si>
    <t>PO000145</t>
  </si>
  <si>
    <t>PO000146</t>
  </si>
  <si>
    <t>PO000147</t>
  </si>
  <si>
    <t>PO000148</t>
  </si>
  <si>
    <t>PO000149</t>
  </si>
  <si>
    <t>PO000150</t>
  </si>
  <si>
    <t>PO000151</t>
  </si>
  <si>
    <t>PO000152</t>
  </si>
  <si>
    <t>PO000153</t>
  </si>
  <si>
    <t>PO000154</t>
  </si>
  <si>
    <t>PO000155</t>
  </si>
  <si>
    <t>PO000156</t>
  </si>
  <si>
    <t>PO000157</t>
  </si>
  <si>
    <t>PO000158</t>
  </si>
  <si>
    <t>PO000159</t>
  </si>
  <si>
    <t>PO000160</t>
  </si>
  <si>
    <t>PO000161</t>
  </si>
  <si>
    <t>PO000162</t>
  </si>
  <si>
    <t>PO000163</t>
  </si>
  <si>
    <t>PO000164</t>
  </si>
  <si>
    <t>PO000165</t>
  </si>
  <si>
    <t>PO000166</t>
  </si>
  <si>
    <t>PO000167</t>
  </si>
  <si>
    <t>PO000168</t>
  </si>
  <si>
    <t>PO000169</t>
  </si>
  <si>
    <t>PO000170</t>
  </si>
  <si>
    <t>PO000171</t>
  </si>
  <si>
    <t>PO000172</t>
  </si>
  <si>
    <t>PO000173</t>
  </si>
  <si>
    <t>PO000174</t>
  </si>
  <si>
    <t>PO000175</t>
  </si>
  <si>
    <t>PO000176</t>
  </si>
  <si>
    <t>PO000177</t>
  </si>
  <si>
    <t>PO000178</t>
  </si>
  <si>
    <t>PO000179</t>
  </si>
  <si>
    <t>PO000180</t>
  </si>
  <si>
    <t>PO000181</t>
  </si>
  <si>
    <t>PO000182</t>
  </si>
  <si>
    <t>PO000183</t>
  </si>
  <si>
    <t>PO000184</t>
  </si>
  <si>
    <t>PO000185</t>
  </si>
  <si>
    <t>PO000186</t>
  </si>
  <si>
    <t>PO000187</t>
  </si>
  <si>
    <t>PO000188</t>
  </si>
  <si>
    <t>PO000189</t>
  </si>
  <si>
    <t>PO000190</t>
  </si>
  <si>
    <t>PO000191</t>
  </si>
  <si>
    <t>PO000192</t>
  </si>
  <si>
    <t>PO000193</t>
  </si>
  <si>
    <t>PO000194</t>
  </si>
  <si>
    <t>PO000195</t>
  </si>
  <si>
    <t>PO000196</t>
  </si>
  <si>
    <t>PO000197</t>
  </si>
  <si>
    <t>PO000198</t>
  </si>
  <si>
    <t>PO000199</t>
  </si>
  <si>
    <t>PO000200</t>
  </si>
  <si>
    <t>PO000201</t>
  </si>
  <si>
    <t>PO000202</t>
  </si>
  <si>
    <t>PO000203</t>
  </si>
  <si>
    <t>PO000204</t>
  </si>
  <si>
    <t>PO000205</t>
  </si>
  <si>
    <t>PO000206</t>
  </si>
  <si>
    <t>PO000207</t>
  </si>
  <si>
    <t>PO000208</t>
  </si>
  <si>
    <t>PO000209</t>
  </si>
  <si>
    <t>PO000210</t>
  </si>
  <si>
    <t>PO000211</t>
  </si>
  <si>
    <t>PO000212</t>
  </si>
  <si>
    <t>PO000213</t>
  </si>
  <si>
    <t>PO000214</t>
  </si>
  <si>
    <t>PO000215</t>
  </si>
  <si>
    <t>PO000216</t>
  </si>
  <si>
    <t>PO000217</t>
  </si>
  <si>
    <t>PO000218</t>
  </si>
  <si>
    <t>PO000219</t>
  </si>
  <si>
    <t>PO000220</t>
  </si>
  <si>
    <t>PO000221</t>
  </si>
  <si>
    <t>PO000222</t>
  </si>
  <si>
    <t>PO000223</t>
  </si>
  <si>
    <t>PO000224</t>
  </si>
  <si>
    <t>PO000225</t>
  </si>
  <si>
    <t>PO000226</t>
  </si>
  <si>
    <t>PO000227</t>
  </si>
  <si>
    <t>PO000228</t>
  </si>
  <si>
    <t>PO000229</t>
  </si>
  <si>
    <t>PO000230</t>
  </si>
  <si>
    <t>PO000231</t>
  </si>
  <si>
    <t>PO000232</t>
  </si>
  <si>
    <t>PO000233</t>
  </si>
  <si>
    <t>PO000234</t>
  </si>
  <si>
    <t>PO000235</t>
  </si>
  <si>
    <t>PO000236</t>
  </si>
  <si>
    <t>PO000237</t>
  </si>
  <si>
    <t>PO000238</t>
  </si>
  <si>
    <t>Strategic buy</t>
  </si>
  <si>
    <t>PO000239</t>
  </si>
  <si>
    <t>PO000240</t>
  </si>
  <si>
    <t>PO000241</t>
  </si>
  <si>
    <t>PO000242</t>
  </si>
  <si>
    <t>PO000243</t>
  </si>
  <si>
    <t>PO000244</t>
  </si>
  <si>
    <t>PO000245</t>
  </si>
  <si>
    <t>PO000246</t>
  </si>
  <si>
    <t>PO000247</t>
  </si>
  <si>
    <t>PO000248</t>
  </si>
  <si>
    <t>PO000249</t>
  </si>
  <si>
    <t>PO000250</t>
  </si>
  <si>
    <t>PO000251</t>
  </si>
  <si>
    <t>PO000252</t>
  </si>
  <si>
    <t>PO000253</t>
  </si>
  <si>
    <t>PO000254</t>
  </si>
  <si>
    <t>PO000255</t>
  </si>
  <si>
    <t>PO000256</t>
  </si>
  <si>
    <t>PO000257</t>
  </si>
  <si>
    <t>PO000258</t>
  </si>
  <si>
    <t>PO000259</t>
  </si>
  <si>
    <t>PO000260</t>
  </si>
  <si>
    <t>PO000261</t>
  </si>
  <si>
    <t>PO000262</t>
  </si>
  <si>
    <t>PO000263</t>
  </si>
  <si>
    <t>PO000264</t>
  </si>
  <si>
    <t>PO000265</t>
  </si>
  <si>
    <t>PO000266</t>
  </si>
  <si>
    <t>PO000267</t>
  </si>
  <si>
    <t>PO000268</t>
  </si>
  <si>
    <t>PO000269</t>
  </si>
  <si>
    <t>PO000270</t>
  </si>
  <si>
    <t>PO000271</t>
  </si>
  <si>
    <t>PO000272</t>
  </si>
  <si>
    <t>PO000273</t>
  </si>
  <si>
    <t>PO000274</t>
  </si>
  <si>
    <t>PO000275</t>
  </si>
  <si>
    <t>PO000276</t>
  </si>
  <si>
    <t>PO000277</t>
  </si>
  <si>
    <t>PO000278</t>
  </si>
  <si>
    <t>PO000279</t>
  </si>
  <si>
    <t>PO000280</t>
  </si>
  <si>
    <t>PO000281</t>
  </si>
  <si>
    <t>PO000282</t>
  </si>
  <si>
    <t>PO000283</t>
  </si>
  <si>
    <t>PO000284</t>
  </si>
  <si>
    <t>PO000285</t>
  </si>
  <si>
    <t>PO000286</t>
  </si>
  <si>
    <t>PO000287</t>
  </si>
  <si>
    <t>PO000288</t>
  </si>
  <si>
    <t>PO000289</t>
  </si>
  <si>
    <t>PO000290</t>
  </si>
  <si>
    <t>PO000291</t>
  </si>
  <si>
    <t>PO000292</t>
  </si>
  <si>
    <t>PO000293</t>
  </si>
  <si>
    <t>PO000294</t>
  </si>
  <si>
    <t>PO000295</t>
  </si>
  <si>
    <t>PO000296</t>
  </si>
  <si>
    <t>PO000297</t>
  </si>
  <si>
    <t>PO000298</t>
  </si>
  <si>
    <t>PO000299</t>
  </si>
  <si>
    <t>PO000300</t>
  </si>
  <si>
    <t>PO000301</t>
  </si>
  <si>
    <t>PO000302</t>
  </si>
  <si>
    <t>PO000303</t>
  </si>
  <si>
    <t>PO000304</t>
  </si>
  <si>
    <t>PO000305</t>
  </si>
  <si>
    <t>PO000306</t>
  </si>
  <si>
    <t>PO000307</t>
  </si>
  <si>
    <t>PO000308</t>
  </si>
  <si>
    <t>PO000309</t>
  </si>
  <si>
    <t>PO000310</t>
  </si>
  <si>
    <t>PO000311</t>
  </si>
  <si>
    <t>PO000312</t>
  </si>
  <si>
    <t>PO000313</t>
  </si>
  <si>
    <t>PO000314</t>
  </si>
  <si>
    <t>PO000315</t>
  </si>
  <si>
    <t>PO000316</t>
  </si>
  <si>
    <t>PO000317</t>
  </si>
  <si>
    <t>PO000318</t>
  </si>
  <si>
    <t>PO000319</t>
  </si>
  <si>
    <t>PO000320</t>
  </si>
  <si>
    <t>PO000321</t>
  </si>
  <si>
    <t>PO000322</t>
  </si>
  <si>
    <t>PO000323</t>
  </si>
  <si>
    <t>PO000324</t>
  </si>
  <si>
    <t>PO000325</t>
  </si>
  <si>
    <t>PO000326</t>
  </si>
  <si>
    <t>PO000327</t>
  </si>
  <si>
    <t>PO000328</t>
  </si>
  <si>
    <t>PO000329</t>
  </si>
  <si>
    <t>PO000330</t>
  </si>
  <si>
    <t>PO000331</t>
  </si>
  <si>
    <t>PO000332</t>
  </si>
  <si>
    <t>PO000333</t>
  </si>
  <si>
    <t>PO000334</t>
  </si>
  <si>
    <t>PO000335</t>
  </si>
  <si>
    <t>PO000336</t>
  </si>
  <si>
    <t>PO000337</t>
  </si>
  <si>
    <t>PO000338</t>
  </si>
  <si>
    <t>PO000339</t>
  </si>
  <si>
    <t>PO000340</t>
  </si>
  <si>
    <t>PO000341</t>
  </si>
  <si>
    <t>PO000342</t>
  </si>
  <si>
    <t>PO000343</t>
  </si>
  <si>
    <t>PO000344</t>
  </si>
  <si>
    <t>PO000345</t>
  </si>
  <si>
    <t>PO000346</t>
  </si>
  <si>
    <t>PO000347</t>
  </si>
  <si>
    <t>PO000348</t>
  </si>
  <si>
    <t>PO000349</t>
  </si>
  <si>
    <t>PO000350</t>
  </si>
  <si>
    <t>PO000351</t>
  </si>
  <si>
    <t>PO000352</t>
  </si>
  <si>
    <t>PO000353</t>
  </si>
  <si>
    <t>PO000354</t>
  </si>
  <si>
    <t>PO000355</t>
  </si>
  <si>
    <t>PO000356</t>
  </si>
  <si>
    <t>PO000357</t>
  </si>
  <si>
    <t>PO000358</t>
  </si>
  <si>
    <t>PO000359</t>
  </si>
  <si>
    <t>PO000360</t>
  </si>
  <si>
    <t>PO000361</t>
  </si>
  <si>
    <t>PO000362</t>
  </si>
  <si>
    <t>PO000363</t>
  </si>
  <si>
    <t>PO000364</t>
  </si>
  <si>
    <t>PO000365</t>
  </si>
  <si>
    <t>PO000366</t>
  </si>
  <si>
    <t>PO000367</t>
  </si>
  <si>
    <t>PO000368</t>
  </si>
  <si>
    <t>PO000369</t>
  </si>
  <si>
    <t>PO000370</t>
  </si>
  <si>
    <t>PO000371</t>
  </si>
  <si>
    <t>PO000372</t>
  </si>
  <si>
    <t>PO000373</t>
  </si>
  <si>
    <t>PO000374</t>
  </si>
  <si>
    <t>PO000375</t>
  </si>
  <si>
    <t>PO000376</t>
  </si>
  <si>
    <t>PO000377</t>
  </si>
  <si>
    <t>PO000378</t>
  </si>
  <si>
    <t>PO000379</t>
  </si>
  <si>
    <t>PO000380</t>
  </si>
  <si>
    <t>PO000381</t>
  </si>
  <si>
    <t>PO000382</t>
  </si>
  <si>
    <t>PO000383</t>
  </si>
  <si>
    <t>PO000384</t>
  </si>
  <si>
    <t>PO000385</t>
  </si>
  <si>
    <t>PO000386</t>
  </si>
  <si>
    <t>PO000387</t>
  </si>
  <si>
    <t>S04</t>
  </si>
  <si>
    <t>Rheinland Lithomaterials</t>
  </si>
  <si>
    <t>PO000388</t>
  </si>
  <si>
    <t>PO000389</t>
  </si>
  <si>
    <t>PO000390</t>
  </si>
  <si>
    <t>PO000391</t>
  </si>
  <si>
    <t>PO000392</t>
  </si>
  <si>
    <t>PO000393</t>
  </si>
  <si>
    <t>PO000394</t>
  </si>
  <si>
    <t>PO000395</t>
  </si>
  <si>
    <t>PO000396</t>
  </si>
  <si>
    <t>PO000397</t>
  </si>
  <si>
    <t>PO000398</t>
  </si>
  <si>
    <t>PO000399</t>
  </si>
  <si>
    <t>PO000400</t>
  </si>
  <si>
    <t>PO000401</t>
  </si>
  <si>
    <t>PO000402</t>
  </si>
  <si>
    <t>PO000403</t>
  </si>
  <si>
    <t>PO000404</t>
  </si>
  <si>
    <t>PO000405</t>
  </si>
  <si>
    <t>PO000406</t>
  </si>
  <si>
    <t>PO000407</t>
  </si>
  <si>
    <t>PO000408</t>
  </si>
  <si>
    <t>PO000409</t>
  </si>
  <si>
    <t>PO000410</t>
  </si>
  <si>
    <t>PO000411</t>
  </si>
  <si>
    <t>PO000412</t>
  </si>
  <si>
    <t>PO000413</t>
  </si>
  <si>
    <t>PO000414</t>
  </si>
  <si>
    <t>PO000415</t>
  </si>
  <si>
    <t>PO000416</t>
  </si>
  <si>
    <t>PO000417</t>
  </si>
  <si>
    <t>PO000418</t>
  </si>
  <si>
    <t>PO000419</t>
  </si>
  <si>
    <t>PO000420</t>
  </si>
  <si>
    <t>PO000421</t>
  </si>
  <si>
    <t>PO000422</t>
  </si>
  <si>
    <t>PO000423</t>
  </si>
  <si>
    <t>PO000424</t>
  </si>
  <si>
    <t>PO000425</t>
  </si>
  <si>
    <t>PO000426</t>
  </si>
  <si>
    <t>PO000427</t>
  </si>
  <si>
    <t>PO000428</t>
  </si>
  <si>
    <t>PO000429</t>
  </si>
  <si>
    <t>PO000430</t>
  </si>
  <si>
    <t>PO000431</t>
  </si>
  <si>
    <t>PO000432</t>
  </si>
  <si>
    <t>PO000433</t>
  </si>
  <si>
    <t>PO000434</t>
  </si>
  <si>
    <t>PO000435</t>
  </si>
  <si>
    <t>PO000436</t>
  </si>
  <si>
    <t>PO000437</t>
  </si>
  <si>
    <t>PO000438</t>
  </si>
  <si>
    <t>PO000439</t>
  </si>
  <si>
    <t>PO000440</t>
  </si>
  <si>
    <t>PO000441</t>
  </si>
  <si>
    <t>PO000442</t>
  </si>
  <si>
    <t>PO000443</t>
  </si>
  <si>
    <t>PO000444</t>
  </si>
  <si>
    <t>PO000445</t>
  </si>
  <si>
    <t>PO000446</t>
  </si>
  <si>
    <t>PO000447</t>
  </si>
  <si>
    <t>PO000448</t>
  </si>
  <si>
    <t>PO000449</t>
  </si>
  <si>
    <t>PO000450</t>
  </si>
  <si>
    <t>PO000451</t>
  </si>
  <si>
    <t>PO000452</t>
  </si>
  <si>
    <t>PO000453</t>
  </si>
  <si>
    <t>PO000454</t>
  </si>
  <si>
    <t>PO000455</t>
  </si>
  <si>
    <t>PO000456</t>
  </si>
  <si>
    <t>PO000457</t>
  </si>
  <si>
    <t>PO000458</t>
  </si>
  <si>
    <t>PO000459</t>
  </si>
  <si>
    <t>PO000460</t>
  </si>
  <si>
    <t>PO000461</t>
  </si>
  <si>
    <t>PO000462</t>
  </si>
  <si>
    <t>PO000463</t>
  </si>
  <si>
    <t>PO000464</t>
  </si>
  <si>
    <t>PO000465</t>
  </si>
  <si>
    <t>PO000466</t>
  </si>
  <si>
    <t>PO000467</t>
  </si>
  <si>
    <t>PO000468</t>
  </si>
  <si>
    <t>PO000469</t>
  </si>
  <si>
    <t>PO000470</t>
  </si>
  <si>
    <t>PO000471</t>
  </si>
  <si>
    <t>PO000472</t>
  </si>
  <si>
    <t>Row Labels</t>
  </si>
  <si>
    <t>Grand Total</t>
  </si>
  <si>
    <t>Column Labels</t>
  </si>
  <si>
    <t>OTD%</t>
  </si>
  <si>
    <t>Total OTD%</t>
  </si>
  <si>
    <t>Total OTIF%</t>
  </si>
  <si>
    <t>OTIF%</t>
  </si>
  <si>
    <t>Total PO Count</t>
  </si>
  <si>
    <t>PO Count</t>
  </si>
  <si>
    <t>2023</t>
  </si>
  <si>
    <t>2024</t>
  </si>
  <si>
    <t>2025</t>
  </si>
  <si>
    <t>Lead_Time_Days­_StdDev</t>
  </si>
  <si>
    <t>CV</t>
  </si>
  <si>
    <t>Average of Lead_Time_Days</t>
  </si>
  <si>
    <t xml:space="preserve">Supplier </t>
  </si>
  <si>
    <t>Safety Stocks Days (95% Service Level)</t>
  </si>
  <si>
    <t>StdDev (Days)</t>
  </si>
  <si>
    <t>AVG Lead time (Days)</t>
  </si>
  <si>
    <t>Safety Stocks (Days) (95% Service Level)</t>
  </si>
  <si>
    <t>quoted_lead_time_weeks</t>
  </si>
  <si>
    <t>receipt_id</t>
  </si>
  <si>
    <t>qty_received</t>
  </si>
  <si>
    <t>qty_rejected</t>
  </si>
  <si>
    <t>defect_type</t>
  </si>
  <si>
    <t>Receipt_Year</t>
  </si>
  <si>
    <t>RCV000013</t>
  </si>
  <si>
    <t>RCV000017</t>
  </si>
  <si>
    <t>RCV000023</t>
  </si>
  <si>
    <t>RCV000036</t>
  </si>
  <si>
    <t>RCV000044</t>
  </si>
  <si>
    <t>RCV000048</t>
  </si>
  <si>
    <t>RCV000055</t>
  </si>
  <si>
    <t>RCV000057</t>
  </si>
  <si>
    <t>RCV000061</t>
  </si>
  <si>
    <t>RCV000067</t>
  </si>
  <si>
    <t>RCV000079</t>
  </si>
  <si>
    <t>RCV000080</t>
  </si>
  <si>
    <t>RCV000085</t>
  </si>
  <si>
    <t>RCV000089</t>
  </si>
  <si>
    <t>RCV000100</t>
  </si>
  <si>
    <t>RCV000104</t>
  </si>
  <si>
    <t>RCV000118</t>
  </si>
  <si>
    <t>RCV000121</t>
  </si>
  <si>
    <t>RCV000126</t>
  </si>
  <si>
    <t>RCV000129</t>
  </si>
  <si>
    <t>RCV000141</t>
  </si>
  <si>
    <t>RCV000146</t>
  </si>
  <si>
    <t>RCV000151</t>
  </si>
  <si>
    <t>RCV000152</t>
  </si>
  <si>
    <t>RCV000157</t>
  </si>
  <si>
    <t>RCV000163</t>
  </si>
  <si>
    <t>RCV000167</t>
  </si>
  <si>
    <t>RCV000174</t>
  </si>
  <si>
    <t>RCV000188</t>
  </si>
  <si>
    <t>RCV000194</t>
  </si>
  <si>
    <t>RCV000197</t>
  </si>
  <si>
    <t>RCV000205</t>
  </si>
  <si>
    <t>RCV000207</t>
  </si>
  <si>
    <t>RCV000216</t>
  </si>
  <si>
    <t>RCV000218</t>
  </si>
  <si>
    <t>RCV000219</t>
  </si>
  <si>
    <t>RCV000223</t>
  </si>
  <si>
    <t>RCV000234</t>
  </si>
  <si>
    <t>RCV000239</t>
  </si>
  <si>
    <t>RCV000241</t>
  </si>
  <si>
    <t>RCV000252</t>
  </si>
  <si>
    <t>RCV000256</t>
  </si>
  <si>
    <t>RCV000258</t>
  </si>
  <si>
    <t>RCV000263</t>
  </si>
  <si>
    <t>RCV000275</t>
  </si>
  <si>
    <t>RCV000281</t>
  </si>
  <si>
    <t>RCV000283</t>
  </si>
  <si>
    <t>RCV000286</t>
  </si>
  <si>
    <t>RCV000290</t>
  </si>
  <si>
    <t>RCV000297</t>
  </si>
  <si>
    <t>RCV000302</t>
  </si>
  <si>
    <t>RCV000307</t>
  </si>
  <si>
    <t>RCV000311</t>
  </si>
  <si>
    <t>RCV000316</t>
  </si>
  <si>
    <t>RCV000318</t>
  </si>
  <si>
    <t>RCV000320</t>
  </si>
  <si>
    <t>RCV000323</t>
  </si>
  <si>
    <t>RCV000337</t>
  </si>
  <si>
    <t>RCV000338</t>
  </si>
  <si>
    <t>RCV000344</t>
  </si>
  <si>
    <t>RCV000353</t>
  </si>
  <si>
    <t>RCV000359</t>
  </si>
  <si>
    <t>RCV000367</t>
  </si>
  <si>
    <t>RCV000375</t>
  </si>
  <si>
    <t>RCV000382</t>
  </si>
  <si>
    <t>RCV000393</t>
  </si>
  <si>
    <t>RCV000401</t>
  </si>
  <si>
    <t>RCV000407</t>
  </si>
  <si>
    <t>RCV000409</t>
  </si>
  <si>
    <t>RCV000415</t>
  </si>
  <si>
    <t>RCV000421</t>
  </si>
  <si>
    <t>RCV000424</t>
  </si>
  <si>
    <t>RCV000427</t>
  </si>
  <si>
    <t>RCV000428</t>
  </si>
  <si>
    <t>RCV000445</t>
  </si>
  <si>
    <t>RCV000446</t>
  </si>
  <si>
    <t>RCV000001</t>
  </si>
  <si>
    <t>Damaged packaging</t>
  </si>
  <si>
    <t>RCV000002</t>
  </si>
  <si>
    <t>Purity out of spec</t>
  </si>
  <si>
    <t>RCV000003</t>
  </si>
  <si>
    <t>Particle contamination</t>
  </si>
  <si>
    <t>RCV000004</t>
  </si>
  <si>
    <t>RCV000005</t>
  </si>
  <si>
    <t>RCV000006</t>
  </si>
  <si>
    <t>Dimensional</t>
  </si>
  <si>
    <t>RCV000007</t>
  </si>
  <si>
    <t>RCV000008</t>
  </si>
  <si>
    <t>RCV000009</t>
  </si>
  <si>
    <t>RCV000010</t>
  </si>
  <si>
    <t>RCV000011</t>
  </si>
  <si>
    <t>RCV000012</t>
  </si>
  <si>
    <t>RCV000014</t>
  </si>
  <si>
    <t>RCV000015</t>
  </si>
  <si>
    <t>RCV000016</t>
  </si>
  <si>
    <t>RCV000018</t>
  </si>
  <si>
    <t>Certificate (COA) mismatch</t>
  </si>
  <si>
    <t>RCV000019</t>
  </si>
  <si>
    <t>RCV000020</t>
  </si>
  <si>
    <t>RCV000021</t>
  </si>
  <si>
    <t>RCV000022</t>
  </si>
  <si>
    <t>RCV000024</t>
  </si>
  <si>
    <t>RCV000025</t>
  </si>
  <si>
    <t>RCV000026</t>
  </si>
  <si>
    <t>RCV000027</t>
  </si>
  <si>
    <t>RCV000028</t>
  </si>
  <si>
    <t>RCV000029</t>
  </si>
  <si>
    <t>RCV000030</t>
  </si>
  <si>
    <t>RCV000031</t>
  </si>
  <si>
    <t>RCV000032</t>
  </si>
  <si>
    <t>RCV000033</t>
  </si>
  <si>
    <t>RCV000034</t>
  </si>
  <si>
    <t>RCV000035</t>
  </si>
  <si>
    <t>RCV000037</t>
  </si>
  <si>
    <t>RCV000038</t>
  </si>
  <si>
    <t>RCV000039</t>
  </si>
  <si>
    <t>RCV000040</t>
  </si>
  <si>
    <t>RCV000041</t>
  </si>
  <si>
    <t>RCV000042</t>
  </si>
  <si>
    <t>RCV000043</t>
  </si>
  <si>
    <t>RCV000045</t>
  </si>
  <si>
    <t>RCV000046</t>
  </si>
  <si>
    <t>RCV000047</t>
  </si>
  <si>
    <t>RCV000049</t>
  </si>
  <si>
    <t>RCV000050</t>
  </si>
  <si>
    <t>RCV000051</t>
  </si>
  <si>
    <t>RCV000052</t>
  </si>
  <si>
    <t>RCV000053</t>
  </si>
  <si>
    <t>RCV000054</t>
  </si>
  <si>
    <t>RCV000056</t>
  </si>
  <si>
    <t>RCV000058</t>
  </si>
  <si>
    <t>RCV000059</t>
  </si>
  <si>
    <t>RCV000060</t>
  </si>
  <si>
    <t>RCV000062</t>
  </si>
  <si>
    <t>RCV000063</t>
  </si>
  <si>
    <t>RCV000064</t>
  </si>
  <si>
    <t>RCV000065</t>
  </si>
  <si>
    <t>RCV000066</t>
  </si>
  <si>
    <t>RCV000068</t>
  </si>
  <si>
    <t>RCV000069</t>
  </si>
  <si>
    <t>RCV000070</t>
  </si>
  <si>
    <t>RCV000071</t>
  </si>
  <si>
    <t>RCV000072</t>
  </si>
  <si>
    <t>RCV000073</t>
  </si>
  <si>
    <t>RCV000074</t>
  </si>
  <si>
    <t>RCV000075</t>
  </si>
  <si>
    <t>RCV000076</t>
  </si>
  <si>
    <t>RCV000077</t>
  </si>
  <si>
    <t>RCV000078</t>
  </si>
  <si>
    <t>RCV000081</t>
  </si>
  <si>
    <t>RCV000082</t>
  </si>
  <si>
    <t>RCV000083</t>
  </si>
  <si>
    <t>RCV000084</t>
  </si>
  <si>
    <t>RCV000086</t>
  </si>
  <si>
    <t>RCV000087</t>
  </si>
  <si>
    <t>RCV000088</t>
  </si>
  <si>
    <t>RCV000090</t>
  </si>
  <si>
    <t>RCV000091</t>
  </si>
  <si>
    <t>RCV000092</t>
  </si>
  <si>
    <t>RCV000093</t>
  </si>
  <si>
    <t>RCV000094</t>
  </si>
  <si>
    <t>RCV000095</t>
  </si>
  <si>
    <t>RCV000096</t>
  </si>
  <si>
    <t>RCV000097</t>
  </si>
  <si>
    <t>RCV000098</t>
  </si>
  <si>
    <t>RCV000099</t>
  </si>
  <si>
    <t>RCV000101</t>
  </si>
  <si>
    <t>RCV000102</t>
  </si>
  <si>
    <t>RCV000103</t>
  </si>
  <si>
    <t>RCV000105</t>
  </si>
  <si>
    <t>RCV000106</t>
  </si>
  <si>
    <t>RCV000107</t>
  </si>
  <si>
    <t>RCV000108</t>
  </si>
  <si>
    <t>RCV000109</t>
  </si>
  <si>
    <t>RCV000110</t>
  </si>
  <si>
    <t>RCV000111</t>
  </si>
  <si>
    <t>RCV000112</t>
  </si>
  <si>
    <t>RCV000113</t>
  </si>
  <si>
    <t>RCV000114</t>
  </si>
  <si>
    <t>RCV000115</t>
  </si>
  <si>
    <t>RCV000116</t>
  </si>
  <si>
    <t>RCV000117</t>
  </si>
  <si>
    <t>RCV000119</t>
  </si>
  <si>
    <t>RCV000120</t>
  </si>
  <si>
    <t>RCV000122</t>
  </si>
  <si>
    <t>RCV000123</t>
  </si>
  <si>
    <t>RCV000124</t>
  </si>
  <si>
    <t>RCV000125</t>
  </si>
  <si>
    <t>RCV000127</t>
  </si>
  <si>
    <t>RCV000128</t>
  </si>
  <si>
    <t>RCV000130</t>
  </si>
  <si>
    <t>RCV000131</t>
  </si>
  <si>
    <t>RCV000132</t>
  </si>
  <si>
    <t>RCV000133</t>
  </si>
  <si>
    <t>RCV000134</t>
  </si>
  <si>
    <t>RCV000135</t>
  </si>
  <si>
    <t>RCV000136</t>
  </si>
  <si>
    <t>RCV000137</t>
  </si>
  <si>
    <t>RCV000138</t>
  </si>
  <si>
    <t>RCV000139</t>
  </si>
  <si>
    <t>RCV000140</t>
  </si>
  <si>
    <t>RCV000142</t>
  </si>
  <si>
    <t>RCV000143</t>
  </si>
  <si>
    <t>RCV000144</t>
  </si>
  <si>
    <t>RCV000145</t>
  </si>
  <si>
    <t>RCV000147</t>
  </si>
  <si>
    <t>RCV000148</t>
  </si>
  <si>
    <t>RCV000149</t>
  </si>
  <si>
    <t>RCV000150</t>
  </si>
  <si>
    <t>RCV000153</t>
  </si>
  <si>
    <t>RCV000154</t>
  </si>
  <si>
    <t>RCV000155</t>
  </si>
  <si>
    <t>RCV000156</t>
  </si>
  <si>
    <t>RCV000158</t>
  </si>
  <si>
    <t>RCV000159</t>
  </si>
  <si>
    <t>RCV000160</t>
  </si>
  <si>
    <t>RCV000161</t>
  </si>
  <si>
    <t>RCV000162</t>
  </si>
  <si>
    <t>RCV000164</t>
  </si>
  <si>
    <t>RCV000165</t>
  </si>
  <si>
    <t>RCV000166</t>
  </si>
  <si>
    <t>RCV000168</t>
  </si>
  <si>
    <t>RCV000169</t>
  </si>
  <si>
    <t>RCV000170</t>
  </si>
  <si>
    <t>RCV000171</t>
  </si>
  <si>
    <t>RCV000172</t>
  </si>
  <si>
    <t>RCV000173</t>
  </si>
  <si>
    <t>RCV000175</t>
  </si>
  <si>
    <t>RCV000176</t>
  </si>
  <si>
    <t>RCV000177</t>
  </si>
  <si>
    <t>RCV000178</t>
  </si>
  <si>
    <t>RCV000179</t>
  </si>
  <si>
    <t>RCV000180</t>
  </si>
  <si>
    <t>RCV000181</t>
  </si>
  <si>
    <t>RCV000182</t>
  </si>
  <si>
    <t>RCV000183</t>
  </si>
  <si>
    <t>RCV000184</t>
  </si>
  <si>
    <t>RCV000185</t>
  </si>
  <si>
    <t>RCV000186</t>
  </si>
  <si>
    <t>RCV000187</t>
  </si>
  <si>
    <t>RCV000189</t>
  </si>
  <si>
    <t>RCV000190</t>
  </si>
  <si>
    <t>RCV000191</t>
  </si>
  <si>
    <t>RCV000192</t>
  </si>
  <si>
    <t>RCV000193</t>
  </si>
  <si>
    <t>RCV000195</t>
  </si>
  <si>
    <t>RCV000196</t>
  </si>
  <si>
    <t>RCV000198</t>
  </si>
  <si>
    <t>RCV000199</t>
  </si>
  <si>
    <t>RCV000200</t>
  </si>
  <si>
    <t>RCV000201</t>
  </si>
  <si>
    <t>RCV000202</t>
  </si>
  <si>
    <t>RCV000203</t>
  </si>
  <si>
    <t>RCV000204</t>
  </si>
  <si>
    <t>RCV000206</t>
  </si>
  <si>
    <t>RCV000208</t>
  </si>
  <si>
    <t>RCV000209</t>
  </si>
  <si>
    <t>RCV000210</t>
  </si>
  <si>
    <t>RCV000211</t>
  </si>
  <si>
    <t>RCV000212</t>
  </si>
  <si>
    <t>RCV000213</t>
  </si>
  <si>
    <t>RCV000214</t>
  </si>
  <si>
    <t>RCV000215</t>
  </si>
  <si>
    <t>RCV000217</t>
  </si>
  <si>
    <t>RCV000220</t>
  </si>
  <si>
    <t>RCV000221</t>
  </si>
  <si>
    <t>RCV000222</t>
  </si>
  <si>
    <t>RCV000224</t>
  </si>
  <si>
    <t>RCV000225</t>
  </si>
  <si>
    <t>RCV000226</t>
  </si>
  <si>
    <t>RCV000227</t>
  </si>
  <si>
    <t>RCV000228</t>
  </si>
  <si>
    <t>RCV000229</t>
  </si>
  <si>
    <t>RCV000230</t>
  </si>
  <si>
    <t>RCV000231</t>
  </si>
  <si>
    <t>RCV000232</t>
  </si>
  <si>
    <t>PO000195-B</t>
  </si>
  <si>
    <t>RCV000233</t>
  </si>
  <si>
    <t>RCV000235</t>
  </si>
  <si>
    <t>RCV000236</t>
  </si>
  <si>
    <t>RCV000237</t>
  </si>
  <si>
    <t>RCV000238</t>
  </si>
  <si>
    <t>RCV000240</t>
  </si>
  <si>
    <t>RCV000242</t>
  </si>
  <si>
    <t>RCV000243</t>
  </si>
  <si>
    <t>RCV000244</t>
  </si>
  <si>
    <t>RCV000245</t>
  </si>
  <si>
    <t>RCV000246</t>
  </si>
  <si>
    <t>RCV000247</t>
  </si>
  <si>
    <t>RCV000248</t>
  </si>
  <si>
    <t>RCV000249</t>
  </si>
  <si>
    <t>RCV000250</t>
  </si>
  <si>
    <t>RCV000251</t>
  </si>
  <si>
    <t>RCV000253</t>
  </si>
  <si>
    <t>RCV000254</t>
  </si>
  <si>
    <t>PO000217-B</t>
  </si>
  <si>
    <t>RCV000255</t>
  </si>
  <si>
    <t>RCV000257</t>
  </si>
  <si>
    <t>RCV000259</t>
  </si>
  <si>
    <t>RCV000260</t>
  </si>
  <si>
    <t>RCV000261</t>
  </si>
  <si>
    <t>RCV000262</t>
  </si>
  <si>
    <t>RCV000264</t>
  </si>
  <si>
    <t>RCV000265</t>
  </si>
  <si>
    <t>RCV000266</t>
  </si>
  <si>
    <t>RCV000267</t>
  </si>
  <si>
    <t>RCV000268</t>
  </si>
  <si>
    <t>RCV000269</t>
  </si>
  <si>
    <t>RCV000270</t>
  </si>
  <si>
    <t>RCV000271</t>
  </si>
  <si>
    <t>RCV000272</t>
  </si>
  <si>
    <t>RCV000273</t>
  </si>
  <si>
    <t>RCV000274</t>
  </si>
  <si>
    <t>RCV000276</t>
  </si>
  <si>
    <t>RCV000277</t>
  </si>
  <si>
    <t>RCV000278</t>
  </si>
  <si>
    <t>RCV000279</t>
  </si>
  <si>
    <t>RCV000280</t>
  </si>
  <si>
    <t>RCV000282</t>
  </si>
  <si>
    <t>RCV000284</t>
  </si>
  <si>
    <t>RCV000285</t>
  </si>
  <si>
    <t>RCV000287</t>
  </si>
  <si>
    <t>RCV000288</t>
  </si>
  <si>
    <t>RCV000289</t>
  </si>
  <si>
    <t>RCV000291</t>
  </si>
  <si>
    <t>RCV000292</t>
  </si>
  <si>
    <t>RCV000293</t>
  </si>
  <si>
    <t>RCV000294</t>
  </si>
  <si>
    <t>RCV000295</t>
  </si>
  <si>
    <t>RCV000296</t>
  </si>
  <si>
    <t>RCV000298</t>
  </si>
  <si>
    <t>RCV000299</t>
  </si>
  <si>
    <t>RCV000300</t>
  </si>
  <si>
    <t>RCV000301</t>
  </si>
  <si>
    <t>RCV000303</t>
  </si>
  <si>
    <t>RCV000304</t>
  </si>
  <si>
    <t>RCV000305</t>
  </si>
  <si>
    <t>RCV000306</t>
  </si>
  <si>
    <t>RCV000308</t>
  </si>
  <si>
    <t>RCV000309</t>
  </si>
  <si>
    <t>RCV000310</t>
  </si>
  <si>
    <t>RCV000312</t>
  </si>
  <si>
    <t>RCV000313</t>
  </si>
  <si>
    <t>RCV000314</t>
  </si>
  <si>
    <t>RCV000315</t>
  </si>
  <si>
    <t>RCV000317</t>
  </si>
  <si>
    <t>RCV000319</t>
  </si>
  <si>
    <t>RCV000321</t>
  </si>
  <si>
    <t>RCV000322</t>
  </si>
  <si>
    <t>RCV000324</t>
  </si>
  <si>
    <t>RCV000325</t>
  </si>
  <si>
    <t>RCV000326</t>
  </si>
  <si>
    <t>RCV000327</t>
  </si>
  <si>
    <t>RCV000328</t>
  </si>
  <si>
    <t>RCV000329</t>
  </si>
  <si>
    <t>RCV000330</t>
  </si>
  <si>
    <t>RCV000331</t>
  </si>
  <si>
    <t>RCV000332</t>
  </si>
  <si>
    <t>RCV000333</t>
  </si>
  <si>
    <t>RCV000334</t>
  </si>
  <si>
    <t>RCV000335</t>
  </si>
  <si>
    <t>RCV000336</t>
  </si>
  <si>
    <t>RCV000339</t>
  </si>
  <si>
    <t>RCV000340</t>
  </si>
  <si>
    <t>RCV000341</t>
  </si>
  <si>
    <t>RCV000342</t>
  </si>
  <si>
    <t>RCV000343</t>
  </si>
  <si>
    <t>RCV000345</t>
  </si>
  <si>
    <t>RCV000346</t>
  </si>
  <si>
    <t>RCV000347</t>
  </si>
  <si>
    <t>RCV000348</t>
  </si>
  <si>
    <t>RCV000349</t>
  </si>
  <si>
    <t>RCV000350</t>
  </si>
  <si>
    <t>RCV000351</t>
  </si>
  <si>
    <t>RCV000352</t>
  </si>
  <si>
    <t>RCV000354</t>
  </si>
  <si>
    <t>RCV000355</t>
  </si>
  <si>
    <t>RCV000356</t>
  </si>
  <si>
    <t>RCV000357</t>
  </si>
  <si>
    <t>RCV000358</t>
  </si>
  <si>
    <t>RCV000360</t>
  </si>
  <si>
    <t>RCV000361</t>
  </si>
  <si>
    <t>RCV000362</t>
  </si>
  <si>
    <t>RCV000363</t>
  </si>
  <si>
    <t>RCV000364</t>
  </si>
  <si>
    <t>RCV000365</t>
  </si>
  <si>
    <t>RCV000366</t>
  </si>
  <si>
    <t>RCV000368</t>
  </si>
  <si>
    <t>RCV000369</t>
  </si>
  <si>
    <t>RCV000370</t>
  </si>
  <si>
    <t>RCV000371</t>
  </si>
  <si>
    <t>RCV000372</t>
  </si>
  <si>
    <t>RCV000373</t>
  </si>
  <si>
    <t>RCV000374</t>
  </si>
  <si>
    <t>RCV000376</t>
  </si>
  <si>
    <t>RCV000377</t>
  </si>
  <si>
    <t>RCV000378</t>
  </si>
  <si>
    <t>RCV000379</t>
  </si>
  <si>
    <t>RCV000380</t>
  </si>
  <si>
    <t>RCV000381</t>
  </si>
  <si>
    <t>RCV000383</t>
  </si>
  <si>
    <t>RCV000384</t>
  </si>
  <si>
    <t>RCV000385</t>
  </si>
  <si>
    <t>RCV000386</t>
  </si>
  <si>
    <t>RCV000387</t>
  </si>
  <si>
    <t>RCV000388</t>
  </si>
  <si>
    <t>RCV000389</t>
  </si>
  <si>
    <t>RCV000390</t>
  </si>
  <si>
    <t>RCV000391</t>
  </si>
  <si>
    <t>RCV000392</t>
  </si>
  <si>
    <t>RCV000394</t>
  </si>
  <si>
    <t>RCV000395</t>
  </si>
  <si>
    <t>RCV000396</t>
  </si>
  <si>
    <t>RCV000397</t>
  </si>
  <si>
    <t>RCV000398</t>
  </si>
  <si>
    <t>RCV000399</t>
  </si>
  <si>
    <t>RCV000400</t>
  </si>
  <si>
    <t>RCV000402</t>
  </si>
  <si>
    <t>RCV000403</t>
  </si>
  <si>
    <t>RCV000404</t>
  </si>
  <si>
    <t>RCV000405</t>
  </si>
  <si>
    <t>RCV000406</t>
  </si>
  <si>
    <t>RCV000408</t>
  </si>
  <si>
    <t>RCV000410</t>
  </si>
  <si>
    <t>RCV000411</t>
  </si>
  <si>
    <t>RCV000412</t>
  </si>
  <si>
    <t>RCV000413</t>
  </si>
  <si>
    <t>RCV000414</t>
  </si>
  <si>
    <t>RCV000416</t>
  </si>
  <si>
    <t>RCV000417</t>
  </si>
  <si>
    <t>RCV000418</t>
  </si>
  <si>
    <t>RCV000419</t>
  </si>
  <si>
    <t>RCV000420</t>
  </si>
  <si>
    <t>RCV000422</t>
  </si>
  <si>
    <t>RCV000423</t>
  </si>
  <si>
    <t>RCV000425</t>
  </si>
  <si>
    <t>RCV000426</t>
  </si>
  <si>
    <t>RCV000429</t>
  </si>
  <si>
    <t>RCV000430</t>
  </si>
  <si>
    <t>RCV000431</t>
  </si>
  <si>
    <t>RCV000432</t>
  </si>
  <si>
    <t>RCV000433</t>
  </si>
  <si>
    <t>RCV000434</t>
  </si>
  <si>
    <t>RCV000435</t>
  </si>
  <si>
    <t>RCV000436</t>
  </si>
  <si>
    <t>RCV000437</t>
  </si>
  <si>
    <t>RCV000438</t>
  </si>
  <si>
    <t>RCV000439</t>
  </si>
  <si>
    <t>RCV000440</t>
  </si>
  <si>
    <t>RCV000441</t>
  </si>
  <si>
    <t>RCV000442</t>
  </si>
  <si>
    <t>RCV000443</t>
  </si>
  <si>
    <t>RCV000444</t>
  </si>
  <si>
    <t>RCV000447</t>
  </si>
  <si>
    <t>RCV000448</t>
  </si>
  <si>
    <t>RCV000449</t>
  </si>
  <si>
    <t>RCV000450</t>
  </si>
  <si>
    <t>Rejected_Qty</t>
  </si>
  <si>
    <t>Recieved_Qty</t>
  </si>
  <si>
    <t>N/A</t>
  </si>
  <si>
    <t xml:space="preserve">PPM </t>
  </si>
  <si>
    <t xml:space="preserve">Improvement </t>
  </si>
  <si>
    <t xml:space="preserve">% Change </t>
  </si>
  <si>
    <t xml:space="preserve">PPV_USD </t>
  </si>
  <si>
    <t xml:space="preserve">Total PPV_USD </t>
  </si>
  <si>
    <t xml:space="preserve">Total Std_Value_USD </t>
  </si>
  <si>
    <t xml:space="preserve">Std_Value_USD </t>
  </si>
  <si>
    <t xml:space="preserve">Total PPV_Pct </t>
  </si>
  <si>
    <t xml:space="preserve">PPV_Pct </t>
  </si>
  <si>
    <t>event_id</t>
  </si>
  <si>
    <t>event_type</t>
  </si>
  <si>
    <t>start_date</t>
  </si>
  <si>
    <t>award_date</t>
  </si>
  <si>
    <t>incumbent_supplier</t>
  </si>
  <si>
    <t>awarded_supplier</t>
  </si>
  <si>
    <t>baseline_unit_price</t>
  </si>
  <si>
    <t>awarded_unit_price</t>
  </si>
  <si>
    <t>est_annual_volume</t>
  </si>
  <si>
    <t>requested_increase_pct</t>
  </si>
  <si>
    <t>negotiated_increase_pct</t>
  </si>
  <si>
    <t>Cost_Savings_USD</t>
  </si>
  <si>
    <t>Cost_Avoidance_USD</t>
  </si>
  <si>
    <t>Award_Year</t>
  </si>
  <si>
    <t>SE-01</t>
  </si>
  <si>
    <t>RFQ</t>
  </si>
  <si>
    <t>SE-02</t>
  </si>
  <si>
    <t>SE-03</t>
  </si>
  <si>
    <t>SE-04</t>
  </si>
  <si>
    <t>RFP</t>
  </si>
  <si>
    <t>SE-05</t>
  </si>
  <si>
    <t>SE-06</t>
  </si>
  <si>
    <t>SE-07</t>
  </si>
  <si>
    <t>SE-08</t>
  </si>
  <si>
    <t>SE-09</t>
  </si>
  <si>
    <t>SE-10</t>
  </si>
  <si>
    <t>RFI</t>
  </si>
  <si>
    <t>PN-01</t>
  </si>
  <si>
    <t>Price increase negotiation</t>
  </si>
  <si>
    <t>PN-02</t>
  </si>
  <si>
    <t>PN-03</t>
  </si>
  <si>
    <t>PN-04</t>
  </si>
  <si>
    <t xml:space="preserve">Total Cost_Savings_USD </t>
  </si>
  <si>
    <t xml:space="preserve">Cost_Savings_USD </t>
  </si>
  <si>
    <t xml:space="preserve">Total Cost_Avoidance_USD </t>
  </si>
  <si>
    <t xml:space="preserve">Cost_Avoidance_USD </t>
  </si>
  <si>
    <t>is_incumbent</t>
  </si>
  <si>
    <t>freight_per_unit</t>
  </si>
  <si>
    <t>supplier_defect_ppm</t>
  </si>
  <si>
    <t>payment_terms_days</t>
  </si>
  <si>
    <t>one_time_qualification_cost</t>
  </si>
  <si>
    <t>awarded</t>
  </si>
  <si>
    <t>Event</t>
  </si>
  <si>
    <t>Material</t>
  </si>
  <si>
    <t>Annual volume</t>
  </si>
  <si>
    <t>OTD year</t>
  </si>
  <si>
    <t>Rejection cost multiple</t>
  </si>
  <si>
    <t>Late delivery cost %</t>
  </si>
  <si>
    <t>Cost of capital</t>
  </si>
  <si>
    <t>Default OTD (new supplier)</t>
  </si>
  <si>
    <t>Supplier ID</t>
  </si>
  <si>
    <t>Supplier</t>
  </si>
  <si>
    <t>Incumbent</t>
  </si>
  <si>
    <t>Unit price</t>
  </si>
  <si>
    <t>Freight</t>
  </si>
  <si>
    <t>Defect PPM</t>
  </si>
  <si>
    <t>Pay terms (days)</t>
  </si>
  <si>
    <t>One time cost</t>
  </si>
  <si>
    <t>Measured OTD</t>
  </si>
  <si>
    <t>Quality cost</t>
  </si>
  <si>
    <t>Delivery risk cost</t>
  </si>
  <si>
    <t>Terms benefit</t>
  </si>
  <si>
    <t>One time / unit</t>
  </si>
  <si>
    <t>TCO / unit</t>
  </si>
  <si>
    <t>Annual TCO $</t>
  </si>
  <si>
    <t>Price rank</t>
  </si>
  <si>
    <t>TCO rank</t>
  </si>
  <si>
    <t>Awarded</t>
  </si>
  <si>
    <t>Lowest Price Bid</t>
  </si>
  <si>
    <t>Lowest TCO Bid</t>
  </si>
  <si>
    <t>Extra cost/yr if you pick lowest price</t>
  </si>
  <si>
    <t>Verdict</t>
  </si>
  <si>
    <t>Simulated data. Change the yellow cells to test assumptions.</t>
  </si>
  <si>
    <t>Supplier Scorecard</t>
  </si>
  <si>
    <t>Halvorn Memory Technologies | Simulated data | Change the yellow cells (year, weights, minimum POs) to update every score</t>
  </si>
  <si>
    <t>Year</t>
  </si>
  <si>
    <t>How each score works (0 to 100 points)</t>
  </si>
  <si>
    <t>Weight: Delivery (OTIF)</t>
  </si>
  <si>
    <t>Delivery: OTIF % x 100</t>
  </si>
  <si>
    <t>Weight: Quality (PPM)</t>
  </si>
  <si>
    <t>Quality: 0 PPM = 100 pts, 5,000 PPM or more = 0 pts</t>
  </si>
  <si>
    <t>Weight: Cost (PPV %)</t>
  </si>
  <si>
    <t>Cost: paid at or below standard = 100 pts, 10% or more above standard = 0 pts</t>
  </si>
  <si>
    <t>Weight: Lead time reliability (CV)</t>
  </si>
  <si>
    <t>Lead time: CV 0% = 100 pts, CV 100% or more = 0 pts</t>
  </si>
  <si>
    <t>Total weight (must be 100%)</t>
  </si>
  <si>
    <t>Grades: A = 85 or more, B = 70 to 85, C = below 70</t>
  </si>
  <si>
    <t>Minimum POs to grade</t>
  </si>
  <si>
    <t>Suppliers with fewer POs than the minimum are not graded</t>
  </si>
  <si>
    <t>Ranked view (graded suppliers only, best first)</t>
  </si>
  <si>
    <t>POs</t>
  </si>
  <si>
    <t>OTIF %</t>
  </si>
  <si>
    <t>PPM</t>
  </si>
  <si>
    <t>PPV %</t>
  </si>
  <si>
    <t>Lead time CV</t>
  </si>
  <si>
    <t>Delivery score</t>
  </si>
  <si>
    <t>Quality score</t>
  </si>
  <si>
    <t>Cost score</t>
  </si>
  <si>
    <t>Lead time score</t>
  </si>
  <si>
    <t>Overall score</t>
  </si>
  <si>
    <t>Grade</t>
  </si>
  <si>
    <t>Rank</t>
  </si>
  <si>
    <t>Order Year</t>
  </si>
  <si>
    <t>Supplier</t>
  </si>
  <si>
    <t>Supplier</t>
  </si>
  <si>
    <t>Avg Lead Time (days)</t>
  </si>
  <si>
    <t>Std Dev (days)</t>
  </si>
  <si>
    <t>Receipt Year</t>
  </si>
  <si>
    <t>Supplier</t>
  </si>
  <si>
    <t>Rejected Qty</t>
  </si>
  <si>
    <t>Received Qty</t>
  </si>
  <si>
    <t>Rejected Qty</t>
  </si>
  <si>
    <t>Received Qty</t>
  </si>
  <si>
    <t>Order Year</t>
  </si>
  <si>
    <t>Total PPV ($)</t>
  </si>
  <si>
    <t>Total Std Value ($)</t>
  </si>
  <si>
    <t>Total PPV %</t>
  </si>
  <si>
    <t>Supplier</t>
  </si>
  <si>
    <t>PPV ($)</t>
  </si>
  <si>
    <t>Std Value ($)</t>
  </si>
  <si>
    <t>PPV %</t>
  </si>
  <si>
    <t>PPV ($)</t>
  </si>
  <si>
    <t>Std Value ($)</t>
  </si>
  <si>
    <t>PPV %</t>
  </si>
  <si>
    <t>Award Year</t>
  </si>
  <si>
    <t>Total Cost Savings ($)</t>
  </si>
  <si>
    <t>Total Cost Avoidance ($)</t>
  </si>
  <si>
    <t>Sourcing Event</t>
  </si>
  <si>
    <t>Cost Savings ($)</t>
  </si>
  <si>
    <t>Cost Avoidance ($)</t>
  </si>
  <si>
    <t>Cost Savings ($)</t>
  </si>
  <si>
    <t>Cost Avoidance ($)</t>
  </si>
  <si>
    <t>On Time Delivery and On Time In Full by Supplier</t>
  </si>
  <si>
    <t>Simulated data (Halvorn Memory Technologies, fictional company)</t>
  </si>
  <si>
    <t>Lead Time Variability and Safety Stock</t>
  </si>
  <si>
    <t>Simulated data (Halvorn Memory Technologies, fictional company)</t>
  </si>
  <si>
    <t>Supplier Defect Rate (PPM), 2024 vs 2025</t>
  </si>
  <si>
    <t>Simulated data (Halvorn Memory Technologies, fictional company)</t>
  </si>
  <si>
    <t>PPM Change</t>
  </si>
  <si>
    <t>% Change</t>
  </si>
  <si>
    <t>Purchase Price Variance (PPV) by Supplier</t>
  </si>
  <si>
    <t>Simulated data (Halvorn Memory Technologies, fictional company)</t>
  </si>
  <si>
    <t>Cost Savings and Cost Avoidance</t>
  </si>
  <si>
    <t>Simulated data (Halvorn Memory Technologies, fictional company)</t>
  </si>
  <si>
    <t>TCO Bid Evaluator</t>
  </si>
  <si>
    <t>Simulated data (Halvorn Memory Technologies, fictional company)</t>
  </si>
  <si>
    <t>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</si>
</sst>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164" formatCode="0.0%"/>
    <numFmt numFmtId="165" formatCode="0.0"/>
    <numFmt numFmtId="166" formatCode="&quot;$&quot;#,##0"/>
    <numFmt numFmtId="167" formatCode="_(&quot;$&quot;* #,##0_);_(&quot;$&quot;* \(#,##0\);_(&quot;$&quot;* &quot;-&quot;??_);_(@_)"/>
    <numFmt numFmtId="168" formatCode="&quot;$&quot;#,##0.0000"/>
    <numFmt numFmtId="169" formatCode="&quot;$&quot;#,##0.00"/>
    <numFmt numFmtId="170" formatCode="mmm yyyy"/>
  </numFmts>
  <fonts count="9">
    <font>
      <sz val="11"/>
      <color theme="1"/>
      <name val="Calibri"/>
      <family val="2"/>
      <scheme val="minor"/>
    </font>
    <font>
      <sz val="11"/>
      <color theme="1"/>
      <name val="Calibri"/>
      <family val="2"/>
      <scheme val="minor"/>
    </font>
    <font>
      <b/>
      <sz val="11"/>
      <color theme="1"/>
      <name val="Calibri"/>
      <family val="2"/>
      <scheme val="minor"/>
    </font>
    <font>
      <sz val="10"/>
      <color theme="1"/>
      <name val="Arial Unicode MS"/>
    </font>
    <font>
      <b/>
      <sz val="12"/>
      <color theme="1"/>
      <name val="Calibri"/>
      <family val="2"/>
      <scheme val="minor"/>
    </font>
    <font>
      <b/>
      <sz val="14"/>
      <color theme="1"/>
      <name val="Calibri"/>
      <family val="2"/>
      <scheme val="minor"/>
    </font>
    <font>
      <i/>
      <sz val="9"/>
      <color rgb="FF7F7F7F"/>
      <name val="Calibri"/>
      <family val="2"/>
      <scheme val="minor"/>
    </font>
    <font>
      <b/>
      <sz val="14"/>
      <color theme="1"/>
      <name val="Calibri"/>
      <family val="2"/>
      <scheme val="minor"/>
    </font>
    <font>
      <i/>
      <sz val="9"/>
      <color rgb="FF595959"/>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FFFF99"/>
        <bgColor indexed="64"/>
      </patternFill>
    </fill>
  </fills>
  <borders count="5">
    <border>
      <left/>
      <right/>
      <top/>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04">
    <xf numFmtId="0" fontId="0" fillId="0" borderId="0" xfId="0"/>
    <xf numFmtId="14" fontId="0" fillId="0" borderId="0" xfId="0" applyNumberFormat="1"/>
    <xf numFmtId="0" fontId="0" fillId="0" borderId="0" xfId="0" applyAlignment="1">
      <alignment horizontal="center" vertical="center"/>
    </xf>
    <xf numFmtId="0" fontId="0" fillId="0" borderId="0" xfId="0" pivotButton="1" applyAlignment="1">
      <alignment horizontal="center" vertical="center"/>
    </xf>
    <xf numFmtId="10" fontId="0" fillId="0" borderId="0" xfId="0" applyNumberFormat="1" applyAlignment="1">
      <alignment horizontal="center" vertical="center"/>
    </xf>
    <xf numFmtId="0" fontId="0" fillId="0" borderId="3" xfId="0" applyBorder="1" applyAlignment="1">
      <alignment horizontal="center" vertical="center"/>
    </xf>
    <xf numFmtId="2" fontId="0" fillId="0" borderId="0" xfId="0" applyNumberFormat="1" applyAlignment="1">
      <alignment horizontal="center" vertical="center"/>
    </xf>
    <xf numFmtId="0" fontId="3" fillId="0" borderId="0" xfId="0" applyFont="1" applyAlignment="1">
      <alignment horizontal="center" vertical="center"/>
    </xf>
    <xf numFmtId="9" fontId="0" fillId="0" borderId="0" xfId="2" applyFont="1" applyAlignment="1">
      <alignment horizontal="center" vertical="center"/>
    </xf>
    <xf numFmtId="164" fontId="0" fillId="0" borderId="0" xfId="2" applyNumberFormat="1" applyFont="1" applyAlignment="1">
      <alignment horizontal="center" vertical="center"/>
    </xf>
    <xf numFmtId="2" fontId="0" fillId="0" borderId="3" xfId="0" applyNumberFormat="1" applyBorder="1" applyAlignment="1">
      <alignment horizontal="center" vertical="center"/>
    </xf>
    <xf numFmtId="165" fontId="0" fillId="0" borderId="3" xfId="2" applyNumberFormat="1" applyFont="1" applyBorder="1" applyAlignment="1">
      <alignment horizontal="center" vertical="center"/>
    </xf>
    <xf numFmtId="165" fontId="0" fillId="0" borderId="3" xfId="0" applyNumberFormat="1" applyBorder="1" applyAlignment="1">
      <alignment horizontal="center" vertical="center"/>
    </xf>
    <xf numFmtId="164" fontId="0" fillId="0" borderId="3" xfId="2" applyNumberFormat="1" applyFont="1" applyBorder="1" applyAlignment="1">
      <alignment horizontal="center" vertical="center"/>
    </xf>
    <xf numFmtId="0" fontId="4" fillId="0" borderId="3" xfId="0" applyFont="1" applyBorder="1" applyAlignment="1">
      <alignment horizontal="center" vertical="center"/>
    </xf>
    <xf numFmtId="0" fontId="2" fillId="2" borderId="1" xfId="0" applyFont="1" applyFill="1" applyBorder="1" applyAlignment="1">
      <alignment horizontal="center" vertical="center"/>
    </xf>
    <xf numFmtId="2" fontId="2" fillId="2" borderId="2" xfId="0" applyNumberFormat="1" applyFont="1" applyFill="1" applyBorder="1" applyAlignment="1">
      <alignment horizontal="center" vertical="center"/>
    </xf>
    <xf numFmtId="164" fontId="2" fillId="2" borderId="2" xfId="2" applyNumberFormat="1" applyFont="1" applyFill="1" applyBorder="1" applyAlignment="1">
      <alignment horizontal="center" vertical="center"/>
    </xf>
    <xf numFmtId="4" fontId="0" fillId="0" borderId="0" xfId="0" applyNumberFormat="1" applyAlignment="1">
      <alignment horizontal="center" vertical="center"/>
    </xf>
    <xf numFmtId="1" fontId="0" fillId="0" borderId="0" xfId="0" applyNumberFormat="1" applyAlignment="1">
      <alignment horizontal="center" vertical="center"/>
    </xf>
    <xf numFmtId="4" fontId="2" fillId="2" borderId="2" xfId="0" applyNumberFormat="1" applyFont="1" applyFill="1" applyBorder="1" applyAlignment="1">
      <alignment horizontal="center" vertical="center"/>
    </xf>
    <xf numFmtId="1" fontId="2" fillId="2" borderId="2" xfId="0" applyNumberFormat="1" applyFont="1" applyFill="1" applyBorder="1" applyAlignment="1">
      <alignment horizontal="center" vertical="center"/>
    </xf>
    <xf numFmtId="164" fontId="0" fillId="0" borderId="0" xfId="0" applyNumberFormat="1" applyAlignment="1">
      <alignment horizontal="center" vertical="center"/>
    </xf>
    <xf numFmtId="166" fontId="0" fillId="0" borderId="0" xfId="0" applyNumberFormat="1" applyAlignment="1">
      <alignment horizontal="center" vertical="center"/>
    </xf>
    <xf numFmtId="0" fontId="3" fillId="0" borderId="0" xfId="0" applyFont="1" applyAlignment="1">
      <alignment vertical="center" wrapText="1"/>
    </xf>
    <xf numFmtId="9" fontId="3" fillId="0" borderId="0" xfId="0" applyNumberFormat="1" applyFont="1" applyAlignment="1">
      <alignment horizontal="center" vertical="center"/>
    </xf>
    <xf numFmtId="0" fontId="0" fillId="3" borderId="3" xfId="0" applyFill="1" applyBorder="1" applyAlignment="1">
      <alignment horizontal="center" vertical="center"/>
    </xf>
    <xf numFmtId="10" fontId="0" fillId="3" borderId="3" xfId="0" applyNumberFormat="1" applyFill="1" applyBorder="1" applyAlignment="1">
      <alignment horizontal="center" vertical="center"/>
    </xf>
    <xf numFmtId="9" fontId="0" fillId="3" borderId="3" xfId="2" applyFont="1" applyFill="1" applyBorder="1" applyAlignment="1">
      <alignment horizontal="center" vertical="center"/>
    </xf>
    <xf numFmtId="0" fontId="0" fillId="0" borderId="0" xfId="0"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0" fillId="0" borderId="3" xfId="0" applyBorder="1" applyAlignment="1">
      <alignment horizontal="center" vertical="center" wrapText="1"/>
    </xf>
    <xf numFmtId="167" fontId="0" fillId="0" borderId="3" xfId="1" applyNumberFormat="1" applyFont="1" applyBorder="1" applyAlignment="1">
      <alignment horizontal="center" vertical="center"/>
    </xf>
    <xf numFmtId="1" fontId="0" fillId="0" borderId="3" xfId="0" applyNumberFormat="1" applyBorder="1" applyAlignment="1">
      <alignment horizontal="center" vertical="center"/>
    </xf>
    <xf numFmtId="168" fontId="0" fillId="0" borderId="0" xfId="0" applyNumberFormat="1" applyAlignment="1">
      <alignment horizontal="center" vertical="center"/>
    </xf>
    <xf numFmtId="3" fontId="0" fillId="0" borderId="3" xfId="0" applyNumberFormat="1" applyBorder="1" applyAlignment="1">
      <alignment horizontal="center" vertical="center"/>
    </xf>
    <xf numFmtId="0" fontId="5" fillId="0" borderId="0" xfId="0" applyFont="1" applyAlignment="1">
      <alignment vertical="center"/>
    </xf>
    <xf numFmtId="0" fontId="6" fillId="0" borderId="0" xfId="0" applyFont="1" applyAlignment="1">
      <alignment vertical="center"/>
    </xf>
    <xf numFmtId="0" fontId="2" fillId="2" borderId="3" xfId="0" applyFont="1" applyFill="1" applyBorder="1" applyAlignment="1">
      <alignment horizontal="center" vertical="center" wrapText="1"/>
    </xf>
    <xf numFmtId="0" fontId="2" fillId="3" borderId="3" xfId="0" applyFont="1" applyFill="1" applyBorder="1" applyAlignment="1">
      <alignment horizontal="center" vertical="center"/>
    </xf>
    <xf numFmtId="9" fontId="2" fillId="3" borderId="3" xfId="0" applyNumberFormat="1" applyFont="1" applyFill="1" applyBorder="1" applyAlignment="1">
      <alignment horizontal="center" vertical="center"/>
    </xf>
    <xf numFmtId="9" fontId="2" fillId="0" borderId="3" xfId="0" applyNumberFormat="1" applyFont="1" applyBorder="1" applyAlignment="1">
      <alignment horizontal="center" vertical="center"/>
    </xf>
    <xf numFmtId="0" fontId="0" fillId="0" borderId="3" xfId="0" applyBorder="1" applyAlignment="1">
      <alignment horizontal="left" vertical="center"/>
    </xf>
    <xf numFmtId="164" fontId="0" fillId="0" borderId="3" xfId="0" applyNumberFormat="1" applyBorder="1" applyAlignment="1">
      <alignment horizontal="center" vertical="center"/>
    </xf>
    <xf numFmtId="165" fontId="2" fillId="0" borderId="3" xfId="0" applyNumberFormat="1" applyFont="1" applyBorder="1" applyAlignment="1">
      <alignment horizontal="center" vertical="center"/>
    </xf>
    <xf numFmtId="0" fontId="2" fillId="0" borderId="3" xfId="0" applyFont="1" applyBorder="1" applyAlignment="1">
      <alignment horizontal="center" vertical="center"/>
    </xf>
    <xf numFmtId="0" fontId="2" fillId="2" borderId="4" xfId="0" applyFont="1" applyFill="1" applyBorder="1" applyAlignment="1">
      <alignment horizontal="center" vertical="center" wrapText="1"/>
    </xf>
    <xf numFmtId="0" fontId="6" fillId="0" borderId="3" xfId="0" applyFont="1" applyBorder="1" applyAlignment="1">
      <alignment horizontal="center" vertical="center"/>
    </xf>
    <xf numFmtId="0" fontId="7" fillId="0" borderId="0" xfId="0" applyNumberFormat="1" applyFont="1" applyFill="1" applyBorder="1" applyAlignment="1">
      <alignment horizontal="left" vertical="center"/>
    </xf>
    <xf numFmtId="0" fontId="8" fillId="0" borderId="0" xfId="0" applyNumberFormat="1" applyFont="1" applyFill="1" applyBorder="1" applyAlignment="1">
      <alignment horizontal="left" vertical="center"/>
    </xf>
    <xf numFmtId="0" fontId="2" fillId="2" borderId="3" xfId="0" applyNumberFormat="1" applyFont="1" applyFill="1" applyBorder="1" applyAlignment="1">
      <alignment horizontal="center" vertical="center" wrapText="1"/>
    </xf>
    <xf numFmtId="164" fontId="0" fillId="0" borderId="0" xfId="0" applyNumberFormat="1" applyAlignment="1">
      <alignment horizontal="center" vertical="center"/>
    </xf>
    <xf numFmtId="1" fontId="0" fillId="0" borderId="0" xfId="0" applyAlignment="1" applyNumberFormat="1">
      <alignment horizontal="center" vertical="center"/>
    </xf>
    <xf numFmtId="165" fontId="0" fillId="0" borderId="0" xfId="0" applyNumberFormat="1" applyAlignment="1">
      <alignment horizontal="center" vertical="center"/>
    </xf>
    <xf numFmtId="4" fontId="0" fillId="0" borderId="0" xfId="0" applyNumberFormat="1" applyAlignment="1">
      <alignment horizontal="center" vertical="center"/>
    </xf>
    <xf numFmtId="4" fontId="0" fillId="0" borderId="0" xfId="0" applyAlignment="1" applyNumberFormat="1">
      <alignment horizontal="center" vertical="center"/>
    </xf>
    <xf numFmtId="3" fontId="0" fillId="0" borderId="0" xfId="0" applyNumberFormat="1" applyAlignment="1">
      <alignment horizontal="center" vertical="center"/>
    </xf>
    <xf numFmtId="3" fontId="0" fillId="0" borderId="0" xfId="0" applyNumberFormat="1" applyAlignment="1">
      <alignment horizontal="center" vertical="center"/>
    </xf>
    <xf numFmtId="166" fontId="0" fillId="0" borderId="0" xfId="0" applyNumberFormat="1" applyAlignment="1">
      <alignment horizontal="center" vertical="center"/>
    </xf>
    <xf numFmtId="164" fontId="0" fillId="0" borderId="0" xfId="0" applyNumberFormat="1" applyAlignment="1">
      <alignment horizontal="center" vertical="center"/>
    </xf>
    <xf numFmtId="164" fontId="0" fillId="0" borderId="0" xfId="0" applyNumberFormat="1" applyAlignment="1">
      <alignment horizontal="center" vertical="center"/>
    </xf>
    <xf numFmtId="166" fontId="0" fillId="0" borderId="0" xfId="0" applyNumberFormat="1" applyAlignment="1">
      <alignment horizontal="center" vertical="center"/>
    </xf>
    <xf numFmtId="164" fontId="0" fillId="0" borderId="3" xfId="2" applyNumberFormat="1" applyFont="1" applyAlignment="1" applyBorder="1">
      <alignment horizontal="center" vertical="center"/>
    </xf>
    <xf numFmtId="2" fontId="0" fillId="0" borderId="3" xfId="0" applyNumberFormat="1" applyAlignment="1" applyBorder="1">
      <alignment horizontal="center" vertical="center"/>
    </xf>
    <xf numFmtId="164" fontId="2" fillId="2" borderId="3" xfId="2" applyNumberFormat="1" applyFont="1" applyFill="1" applyBorder="1" applyAlignment="1">
      <alignment horizontal="center" vertical="center"/>
    </xf>
    <xf numFmtId="2" fontId="2" fillId="2" borderId="3" xfId="0" applyNumberFormat="1" applyFont="1" applyFill="1" applyBorder="1" applyAlignment="1">
      <alignment horizontal="center" vertical="center"/>
    </xf>
    <xf numFmtId="0" fontId="0" fillId="0" borderId="3" xfId="0" applyNumberFormat="1" applyBorder="1" applyAlignment="1">
      <alignment horizontal="left" vertical="center"/>
    </xf>
    <xf numFmtId="165" fontId="0" fillId="0" borderId="3" xfId="2" applyNumberFormat="1" applyFont="1" applyBorder="1" applyAlignment="1">
      <alignment horizontal="center" vertical="center"/>
    </xf>
    <xf numFmtId="165" fontId="0" fillId="0" borderId="3" xfId="0" applyNumberFormat="1" applyBorder="1" applyAlignment="1">
      <alignment horizontal="center" vertical="center"/>
    </xf>
    <xf numFmtId="164" fontId="0" fillId="0" borderId="3" xfId="2" applyNumberFormat="1" applyFont="1" applyBorder="1" applyAlignment="1">
      <alignment horizontal="center" vertical="center"/>
    </xf>
    <xf numFmtId="3" fontId="0" fillId="0" borderId="3" xfId="0" applyNumberFormat="1" applyAlignment="1" applyBorder="1">
      <alignment horizontal="center" vertical="center"/>
    </xf>
    <xf numFmtId="9" fontId="0" fillId="0" borderId="3" xfId="2" applyFont="1" applyAlignment="1" applyBorder="1" applyNumberFormat="1">
      <alignment horizontal="center" vertical="center"/>
    </xf>
    <xf numFmtId="3" fontId="2" fillId="2" borderId="3" xfId="0" applyNumberFormat="1" applyFont="1" applyFill="1" applyBorder="1" applyAlignment="1">
      <alignment horizontal="center" vertical="center"/>
    </xf>
    <xf numFmtId="9" fontId="2" fillId="2" borderId="3" xfId="0" applyNumberFormat="1" applyFont="1" applyFill="1" applyBorder="1" applyAlignment="1">
      <alignment horizontal="center" vertical="center"/>
    </xf>
    <xf numFmtId="0" fontId="2" fillId="0" borderId="3" xfId="0" applyNumberFormat="1" applyFont="1" applyFill="1" applyBorder="1" applyAlignment="1">
      <alignment horizontal="left" vertical="center"/>
    </xf>
    <xf numFmtId="0" fontId="2" fillId="0" borderId="3" xfId="0" applyBorder="1" applyAlignment="1" applyFont="1">
      <alignment horizontal="center" vertical="center"/>
    </xf>
    <xf numFmtId="0" fontId="2" fillId="0" borderId="3" xfId="0" applyBorder="1" applyAlignment="1" applyFont="1">
      <alignment horizontal="center" vertical="center" wrapText="1"/>
    </xf>
    <xf numFmtId="167" fontId="2" fillId="0" borderId="3" xfId="1" applyNumberFormat="1" applyFont="1" applyBorder="1" applyAlignment="1">
      <alignment horizontal="center" vertical="center"/>
    </xf>
    <xf numFmtId="0" fontId="2" fillId="2" borderId="3" xfId="0" applyNumberFormat="1" applyFont="1" applyFill="1" applyBorder="1" applyAlignment="1">
      <alignment horizontal="left" vertical="center"/>
    </xf>
    <xf numFmtId="0" fontId="0" fillId="2" borderId="3" xfId="0" applyNumberFormat="1" applyFont="1" applyFill="1" applyBorder="1" applyAlignment="1">
      <alignment horizontal="center" vertical="center"/>
    </xf>
    <xf numFmtId="0" fontId="0" fillId="0" borderId="3" xfId="0" applyAlignment="1" applyBorder="1">
      <alignment horizontal="center" vertical="center"/>
    </xf>
    <xf numFmtId="168" fontId="0" fillId="0" borderId="3" xfId="0" applyNumberFormat="1" applyAlignment="1" applyBorder="1">
      <alignment horizontal="center" vertical="center"/>
    </xf>
    <xf numFmtId="9" fontId="0" fillId="0" borderId="3" xfId="2" applyFont="1" applyAlignment="1" applyBorder="1">
      <alignment horizontal="center" vertical="center"/>
    </xf>
    <xf numFmtId="166" fontId="0" fillId="0" borderId="3" xfId="0" applyNumberFormat="1" applyAlignment="1" applyBorder="1">
      <alignment horizontal="center" vertical="center"/>
    </xf>
    <xf numFmtId="168" fontId="0" fillId="0" borderId="0" xfId="0" applyNumberFormat="1"/>
    <xf numFmtId="3" fontId="0" fillId="0" borderId="0" xfId="0" applyNumberFormat="1"/>
    <xf numFmtId="166" fontId="0" fillId="0" borderId="0" xfId="0" applyNumberFormat="1"/>
    <xf numFmtId="169" fontId="0" fillId="0" borderId="0" xfId="0" applyNumberFormat="1"/>
    <xf numFmtId="1" fontId="0" fillId="0" borderId="0" xfId="0" applyNumberFormat="1"/>
    <xf numFmtId="170" fontId="0" fillId="0" borderId="0" xfId="0" applyNumberFormat="1"/>
    <xf numFmtId="4" fontId="0" fillId="0" borderId="0" xfId="0" applyNumberFormat="1"/>
    <xf numFmtId="9" fontId="0" fillId="0" borderId="0" xfId="0" applyNumberFormat="1"/>
    <xf numFmtId="0" fontId="0" fillId="0" borderId="3" xfId="0" applyNumberFormat="1" applyFont="1" applyFill="1" applyBorder="1" applyAlignment="1">
      <alignment horizontal="left" vertical="center"/>
    </xf>
    <xf numFmtId="0" fontId="2" fillId="3" borderId="3" xfId="0" applyNumberFormat="1" applyFont="1" applyFill="1" applyBorder="1" applyAlignment="1">
      <alignment horizontal="center" vertical="center"/>
    </xf>
    <xf numFmtId="9" fontId="2" fillId="3" borderId="3" xfId="0" applyNumberFormat="1" applyFont="1" applyFill="1" applyBorder="1" applyAlignment="1">
      <alignment horizontal="center" vertical="center"/>
    </xf>
    <xf numFmtId="3" fontId="2" fillId="3" borderId="3" xfId="0" applyNumberFormat="1" applyFont="1" applyFill="1" applyBorder="1" applyAlignment="1">
      <alignment horizontal="center" vertical="center"/>
    </xf>
    <xf numFmtId="9" fontId="2" fillId="0" borderId="3" xfId="0" applyNumberFormat="1" applyFont="1" applyFill="1" applyBorder="1" applyAlignment="1">
      <alignment horizontal="center" vertical="center"/>
    </xf>
    <xf numFmtId="0" fontId="0" fillId="0" borderId="3" xfId="0" applyNumberFormat="1" applyFont="1" applyFill="1" applyBorder="1" applyAlignment="1">
      <alignment horizontal="center" vertical="center"/>
    </xf>
    <xf numFmtId="1" fontId="0" fillId="0" borderId="3" xfId="0" applyNumberFormat="1" applyFont="1" applyFill="1" applyBorder="1" applyAlignment="1">
      <alignment horizontal="center" vertical="center"/>
    </xf>
    <xf numFmtId="164" fontId="0" fillId="0" borderId="3" xfId="0" applyNumberFormat="1" applyFont="1" applyFill="1" applyBorder="1" applyAlignment="1">
      <alignment horizontal="center" vertical="center"/>
    </xf>
    <xf numFmtId="3" fontId="0" fillId="0" borderId="3" xfId="0" applyNumberFormat="1" applyFont="1" applyFill="1" applyBorder="1" applyAlignment="1">
      <alignment horizontal="center" vertical="center"/>
    </xf>
    <xf numFmtId="165" fontId="2" fillId="0" borderId="3" xfId="0" applyNumberFormat="1" applyFont="1" applyFill="1" applyBorder="1" applyAlignment="1">
      <alignment horizontal="center" vertical="center"/>
    </xf>
    <xf numFmtId="0" fontId="2" fillId="0" borderId="3" xfId="0" applyNumberFormat="1" applyFont="1" applyFill="1" applyBorder="1" applyAlignment="1">
      <alignment horizontal="center" vertical="center"/>
    </xf>
  </cellXfs>
  <cellStyles count="3">
    <cellStyle name="Currency" xfId="1" builtinId="4"/>
    <cellStyle name="Normal" xfId="0" builtinId="0"/>
    <cellStyle name="Per cent" xfId="2" builtinId="5"/>
  </cellStyles>
  <dxfs count="175">
    <dxf>
      <font>
        <color rgb="FF595959"/>
      </font>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u val="none"/>
        <color auto="1"/>
      </font>
      <fill>
        <patternFill>
          <bgColor rgb="FF92D050"/>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numFmt numFmtId="1" formatCode="0"/>
    </dxf>
    <dxf>
      <numFmt numFmtId="1"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
    </dxf>
    <dxf>
      <numFmt numFmtId="164" formatCode="0.0%"/>
    </dxf>
    <dxf>
      <numFmt numFmtId="164" formatCode="0.0%"/>
    </dxf>
    <dxf>
      <numFmt numFmtId="169" formatCode="[$$-409]#,##0.00"/>
    </dxf>
    <dxf>
      <numFmt numFmtId="1" formatCode="0"/>
    </dxf>
    <dxf>
      <numFmt numFmtId="3" formatCode="#,##0"/>
    </dxf>
    <dxf>
      <numFmt numFmtId="3" formatCode="#,##0"/>
    </dxf>
    <dxf>
      <numFmt numFmtId="3" formatCode="#,##0"/>
    </dxf>
    <dxf>
      <numFmt numFmtId="3" formatCode="#,##0"/>
    </dxf>
    <dxf>
      <numFmt numFmtId="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horizontal="center"/>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19" formatCode="m/d/yyyy"/>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rgb="FF006100"/>
      </font>
      <fill>
        <patternFill>
          <bgColor rgb="FFC6EFCE"/>
        </patternFill>
      </fill>
    </dxf>
    <dxf>
      <font>
        <color rgb="FF375623"/>
      </font>
      <fill>
        <patternFill>
          <bgColor rgb="FFE2EFDA"/>
        </patternFill>
      </fill>
    </dxf>
    <dxf>
      <font>
        <color rgb="FF9C5700"/>
      </font>
      <fill>
        <patternFill>
          <bgColor rgb="FFFFEB9C"/>
        </patternFill>
      </fill>
    </dxf>
    <dxf>
      <font>
        <color rgb="FF9C0006"/>
      </font>
      <fill>
        <patternFill>
          <bgColor rgb="FFFFC7CE"/>
        </patternFill>
      </fill>
    </dxf>
    <dxf>
      <font>
        <color rgb="FF595959"/>
      </font>
      <fill>
        <patternFill>
          <bgColor rgb="FFD9D9D9"/>
        </patternFill>
      </fill>
    </dxf>
    <dxf>
      <font>
        <b/>
        <color rgb="FFC00000"/>
      </font>
    </dxf>
  </dxfs>
  <tableStyles count="0" defaultTableStyle="TableStyleMedium2" defaultPivotStyle="PivotStyleLight16"/>
  <colors>
    <mruColors>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s>
</file>

<file path=xl/drawings/drawing1.xml><?xml version="1.0" encoding="utf-8"?>
<xdr:wsDr xmlns:xdr="http://schemas.openxmlformats.org/drawingml/2006/spreadsheetDrawing" xmlns:a="http://schemas.openxmlformats.org/drawingml/2006/main">
  <xdr:twoCellAnchor editAs="oneCell">
    <xdr:from>
      <xdr:col>13</xdr:col>
      <xdr:colOff>219074</xdr:colOff>
      <xdr:row>2</xdr:row>
      <xdr:rowOff>180975</xdr:rowOff>
    </xdr:from>
    <xdr:to>
      <xdr:col>17</xdr:col>
      <xdr:colOff>209549</xdr:colOff>
      <xdr:row>24</xdr:row>
      <xdr:rowOff>85725</xdr:rowOff>
    </xdr:to>
    <mc:AlternateContent xmlns:mc="http://schemas.openxmlformats.org/markup-compatibility/2006" xmlns:a14="http://schemas.microsoft.com/office/drawing/2010/main">
      <mc:Choice Requires="a14">
        <xdr:graphicFrame macro="">
          <xdr:nvGraphicFramePr>
            <xdr:cNvPr id="2" name="material_category">
              <a:extLst>
                <a:ext uri="{FF2B5EF4-FFF2-40B4-BE49-F238E27FC236}">
                  <a16:creationId xmlns:a16="http://schemas.microsoft.com/office/drawing/2014/main" id="{06DE201A-F379-F5EB-C36E-B3DFB9D89044}"/>
                </a:ext>
              </a:extLst>
            </xdr:cNvPr>
            <xdr:cNvGraphicFramePr/>
          </xdr:nvGraphicFramePr>
          <xdr:xfrm>
            <a:off x="0" y="0"/>
            <a:ext cx="0" cy="0"/>
          </xdr:xfrm>
          <a:graphic>
            <a:graphicData uri="http://schemas.microsoft.com/office/drawing/2010/slicer">
              <sle:slicer xmlns:sle="http://schemas.microsoft.com/office/drawing/2010/slicer" name="material_category"/>
            </a:graphicData>
          </a:graphic>
        </xdr:graphicFrame>
      </mc:Choice>
      <mc:Fallback xmlns="">
        <xdr:sp macro="" textlink="">
          <xdr:nvSpPr>
            <xdr:cNvPr id="0" name=""/>
            <xdr:cNvSpPr>
              <a:spLocks noTextEdit="1"/>
            </xdr:cNvSpPr>
          </xdr:nvSpPr>
          <xdr:spPr>
            <a:xfrm>
              <a:off x="10058399" y="561975"/>
              <a:ext cx="2428875" cy="4095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nj patel" refreshedDate="46306.002045833331" createdVersion="8" refreshedVersion="8" minRefreshableVersion="3" recordCount="472" xr:uid="{7D64825F-F083-4623-AC06-BCDCF12788AA}">
  <cacheSource type="worksheet">
    <worksheetSource name="PO_Data"/>
  </cacheSource>
  <cacheFields count="29">
    <cacheField name="po_id" numFmtId="0">
      <sharedItems count="472">
        <s v="PO000001"/>
        <s v="PO000002"/>
        <s v="PO000003"/>
        <s v="PO000004"/>
        <s v="PO000005"/>
        <s v="PO000006"/>
        <s v="PO000007"/>
        <s v="PO000008"/>
        <s v="PO000009"/>
        <s v="PO000010"/>
        <s v="PO000011"/>
        <s v="PO000012"/>
        <s v="PO000013"/>
        <s v="PO000014"/>
        <s v="PO000015"/>
        <s v="PO000016"/>
        <s v="PO000017"/>
        <s v="PO000018"/>
        <s v="PO000019"/>
        <s v="PO000020"/>
        <s v="PO000021"/>
        <s v="PO000022"/>
        <s v="PO000023"/>
        <s v="PO000024"/>
        <s v="PO000025"/>
        <s v="PO000026"/>
        <s v="PO000027"/>
        <s v="PO000028"/>
        <s v="PO000029"/>
        <s v="PO000030"/>
        <s v="PO000031"/>
        <s v="PO000032"/>
        <s v="PO000033"/>
        <s v="PO000034"/>
        <s v="PO000035"/>
        <s v="PO000036"/>
        <s v="PO000037"/>
        <s v="PO000038"/>
        <s v="PO000039"/>
        <s v="PO000040"/>
        <s v="PO000041"/>
        <s v="PO000042"/>
        <s v="PO000043"/>
        <s v="PO000044"/>
        <s v="PO000045"/>
        <s v="PO000046"/>
        <s v="PO000047"/>
        <s v="PO000048"/>
        <s v="PO000049"/>
        <s v="PO000050"/>
        <s v="PO000051"/>
        <s v="PO000052"/>
        <s v="PO000053"/>
        <s v="PO000054"/>
        <s v="PO000055"/>
        <s v="PO000056"/>
        <s v="PO000057"/>
        <s v="PO000058"/>
        <s v="PO000059"/>
        <s v="PO000060"/>
        <s v="PO000061"/>
        <s v="PO000062"/>
        <s v="PO000063"/>
        <s v="PO000064"/>
        <s v="PO000065"/>
        <s v="PO000066"/>
        <s v="PO000067"/>
        <s v="PO000068"/>
        <s v="PO000069"/>
        <s v="PO000070"/>
        <s v="PO000071"/>
        <s v="PO000072"/>
        <s v="PO000073"/>
        <s v="PO000074"/>
        <s v="PO000075"/>
        <s v="PO000076"/>
        <s v="PO000077"/>
        <s v="PO000078"/>
        <s v="PO000079"/>
        <s v="PO000080"/>
        <s v="PO000081"/>
        <s v="PO000082"/>
        <s v="PO000083"/>
        <s v="PO000084"/>
        <s v="PO000085"/>
        <s v="PO000086"/>
        <s v="PO000087"/>
        <s v="PO000088"/>
        <s v="PO000089"/>
        <s v="PO000090"/>
        <s v="PO000091"/>
        <s v="PO000092"/>
        <s v="PO000093"/>
        <s v="PO000094"/>
        <s v="PO000095"/>
        <s v="PO000096"/>
        <s v="PO000097"/>
        <s v="PO000098"/>
        <s v="PO000099"/>
        <s v="PO000100"/>
        <s v="PO000101"/>
        <s v="PO000102"/>
        <s v="PO000103"/>
        <s v="PO000104"/>
        <s v="PO000105"/>
        <s v="PO000106"/>
        <s v="PO000107"/>
        <s v="PO000108"/>
        <s v="PO000109"/>
        <s v="PO000110"/>
        <s v="PO000111"/>
        <s v="PO000112"/>
        <s v="PO000113"/>
        <s v="PO000114"/>
        <s v="PO000115"/>
        <s v="PO000116"/>
        <s v="PO000117"/>
        <s v="PO000118"/>
        <s v="PO000119"/>
        <s v="PO000120"/>
        <s v="PO000121"/>
        <s v="PO000122"/>
        <s v="PO000123"/>
        <s v="PO000124"/>
        <s v="PO000125"/>
        <s v="PO000126"/>
        <s v="PO000127"/>
        <s v="PO000128"/>
        <s v="PO000129"/>
        <s v="PO000130"/>
        <s v="PO000131"/>
        <s v="PO000132"/>
        <s v="PO000133"/>
        <s v="PO000134"/>
        <s v="PO000135"/>
        <s v="PO000136"/>
        <s v="PO000137"/>
        <s v="PO000138"/>
        <s v="PO000139"/>
        <s v="PO000140"/>
        <s v="PO000141"/>
        <s v="PO000142"/>
        <s v="PO000143"/>
        <s v="PO000144"/>
        <s v="PO000145"/>
        <s v="PO000146"/>
        <s v="PO000147"/>
        <s v="PO000148"/>
        <s v="PO000149"/>
        <s v="PO000150"/>
        <s v="PO000151"/>
        <s v="PO000152"/>
        <s v="PO000153"/>
        <s v="PO000154"/>
        <s v="PO000155"/>
        <s v="PO000156"/>
        <s v="PO000157"/>
        <s v="PO000158"/>
        <s v="PO000159"/>
        <s v="PO000160"/>
        <s v="PO000161"/>
        <s v="PO000162"/>
        <s v="PO000163"/>
        <s v="PO000164"/>
        <s v="PO000165"/>
        <s v="PO000166"/>
        <s v="PO000167"/>
        <s v="PO000168"/>
        <s v="PO000169"/>
        <s v="PO000170"/>
        <s v="PO000171"/>
        <s v="PO000172"/>
        <s v="PO000173"/>
        <s v="PO000174"/>
        <s v="PO000175"/>
        <s v="PO000176"/>
        <s v="PO000177"/>
        <s v="PO000178"/>
        <s v="PO000179"/>
        <s v="PO000180"/>
        <s v="PO000181"/>
        <s v="PO000182"/>
        <s v="PO000183"/>
        <s v="PO000184"/>
        <s v="PO000185"/>
        <s v="PO000186"/>
        <s v="PO000187"/>
        <s v="PO000188"/>
        <s v="PO000189"/>
        <s v="PO000190"/>
        <s v="PO000191"/>
        <s v="PO000192"/>
        <s v="PO000193"/>
        <s v="PO000194"/>
        <s v="PO000195"/>
        <s v="PO000196"/>
        <s v="PO000197"/>
        <s v="PO000198"/>
        <s v="PO000199"/>
        <s v="PO000200"/>
        <s v="PO000201"/>
        <s v="PO000202"/>
        <s v="PO000203"/>
        <s v="PO000204"/>
        <s v="PO000205"/>
        <s v="PO000206"/>
        <s v="PO000207"/>
        <s v="PO000208"/>
        <s v="PO000209"/>
        <s v="PO000210"/>
        <s v="PO000211"/>
        <s v="PO000212"/>
        <s v="PO000213"/>
        <s v="PO000214"/>
        <s v="PO000215"/>
        <s v="PO000216"/>
        <s v="PO000217"/>
        <s v="PO000218"/>
        <s v="PO000219"/>
        <s v="PO000220"/>
        <s v="PO000221"/>
        <s v="PO000222"/>
        <s v="PO000223"/>
        <s v="PO000224"/>
        <s v="PO000225"/>
        <s v="PO000226"/>
        <s v="PO000227"/>
        <s v="PO000228"/>
        <s v="PO000229"/>
        <s v="PO000230"/>
        <s v="PO000231"/>
        <s v="PO000232"/>
        <s v="PO000233"/>
        <s v="PO000234"/>
        <s v="PO000235"/>
        <s v="PO000236"/>
        <s v="PO000237"/>
        <s v="PO000238"/>
        <s v="PO000239"/>
        <s v="PO000240"/>
        <s v="PO000241"/>
        <s v="PO000242"/>
        <s v="PO000243"/>
        <s v="PO000244"/>
        <s v="PO000245"/>
        <s v="PO000246"/>
        <s v="PO000247"/>
        <s v="PO000248"/>
        <s v="PO000249"/>
        <s v="PO000250"/>
        <s v="PO000251"/>
        <s v="PO000252"/>
        <s v="PO000253"/>
        <s v="PO000254"/>
        <s v="PO000255"/>
        <s v="PO000256"/>
        <s v="PO000257"/>
        <s v="PO000258"/>
        <s v="PO000259"/>
        <s v="PO000260"/>
        <s v="PO000261"/>
        <s v="PO000262"/>
        <s v="PO000263"/>
        <s v="PO000264"/>
        <s v="PO000265"/>
        <s v="PO000266"/>
        <s v="PO000267"/>
        <s v="PO000268"/>
        <s v="PO000269"/>
        <s v="PO000270"/>
        <s v="PO000271"/>
        <s v="PO000272"/>
        <s v="PO000273"/>
        <s v="PO000274"/>
        <s v="PO000275"/>
        <s v="PO000276"/>
        <s v="PO000277"/>
        <s v="PO000278"/>
        <s v="PO000279"/>
        <s v="PO000280"/>
        <s v="PO000281"/>
        <s v="PO000282"/>
        <s v="PO000283"/>
        <s v="PO000284"/>
        <s v="PO000285"/>
        <s v="PO000286"/>
        <s v="PO000287"/>
        <s v="PO000288"/>
        <s v="PO000289"/>
        <s v="PO000290"/>
        <s v="PO000291"/>
        <s v="PO000292"/>
        <s v="PO000293"/>
        <s v="PO000294"/>
        <s v="PO000295"/>
        <s v="PO000296"/>
        <s v="PO000297"/>
        <s v="PO000298"/>
        <s v="PO000299"/>
        <s v="PO000300"/>
        <s v="PO000301"/>
        <s v="PO000302"/>
        <s v="PO000303"/>
        <s v="PO000304"/>
        <s v="PO000305"/>
        <s v="PO000306"/>
        <s v="PO000307"/>
        <s v="PO000308"/>
        <s v="PO000309"/>
        <s v="PO000310"/>
        <s v="PO000311"/>
        <s v="PO000312"/>
        <s v="PO000313"/>
        <s v="PO000314"/>
        <s v="PO000315"/>
        <s v="PO000316"/>
        <s v="PO000317"/>
        <s v="PO000318"/>
        <s v="PO000319"/>
        <s v="PO000320"/>
        <s v="PO000321"/>
        <s v="PO000322"/>
        <s v="PO000323"/>
        <s v="PO000324"/>
        <s v="PO000325"/>
        <s v="PO000326"/>
        <s v="PO000327"/>
        <s v="PO000328"/>
        <s v="PO000329"/>
        <s v="PO000330"/>
        <s v="PO000331"/>
        <s v="PO000332"/>
        <s v="PO000333"/>
        <s v="PO000334"/>
        <s v="PO000335"/>
        <s v="PO000336"/>
        <s v="PO000337"/>
        <s v="PO000338"/>
        <s v="PO000339"/>
        <s v="PO000340"/>
        <s v="PO000341"/>
        <s v="PO000342"/>
        <s v="PO000343"/>
        <s v="PO000344"/>
        <s v="PO000345"/>
        <s v="PO000346"/>
        <s v="PO000347"/>
        <s v="PO000348"/>
        <s v="PO000349"/>
        <s v="PO000350"/>
        <s v="PO000351"/>
        <s v="PO000352"/>
        <s v="PO000353"/>
        <s v="PO000354"/>
        <s v="PO000355"/>
        <s v="PO000356"/>
        <s v="PO000357"/>
        <s v="PO000358"/>
        <s v="PO000359"/>
        <s v="PO000360"/>
        <s v="PO000361"/>
        <s v="PO000362"/>
        <s v="PO000363"/>
        <s v="PO000364"/>
        <s v="PO000365"/>
        <s v="PO000366"/>
        <s v="PO000367"/>
        <s v="PO000368"/>
        <s v="PO000369"/>
        <s v="PO000370"/>
        <s v="PO000371"/>
        <s v="PO000372"/>
        <s v="PO000373"/>
        <s v="PO000374"/>
        <s v="PO000375"/>
        <s v="PO000376"/>
        <s v="PO000377"/>
        <s v="PO000378"/>
        <s v="PO000379"/>
        <s v="PO000380"/>
        <s v="PO000381"/>
        <s v="PO000382"/>
        <s v="PO000383"/>
        <s v="PO000384"/>
        <s v="PO000385"/>
        <s v="PO000386"/>
        <s v="PO000387"/>
        <s v="PO000388"/>
        <s v="PO000389"/>
        <s v="PO000390"/>
        <s v="PO000391"/>
        <s v="PO000392"/>
        <s v="PO000393"/>
        <s v="PO000394"/>
        <s v="PO000395"/>
        <s v="PO000396"/>
        <s v="PO000397"/>
        <s v="PO000398"/>
        <s v="PO000399"/>
        <s v="PO000400"/>
        <s v="PO000401"/>
        <s v="PO000402"/>
        <s v="PO000403"/>
        <s v="PO000404"/>
        <s v="PO000405"/>
        <s v="PO000406"/>
        <s v="PO000407"/>
        <s v="PO000408"/>
        <s v="PO000409"/>
        <s v="PO000410"/>
        <s v="PO000411"/>
        <s v="PO000412"/>
        <s v="PO000413"/>
        <s v="PO000414"/>
        <s v="PO000415"/>
        <s v="PO000416"/>
        <s v="PO000417"/>
        <s v="PO000418"/>
        <s v="PO000419"/>
        <s v="PO000420"/>
        <s v="PO000421"/>
        <s v="PO000422"/>
        <s v="PO000423"/>
        <s v="PO000424"/>
        <s v="PO000425"/>
        <s v="PO000426"/>
        <s v="PO000427"/>
        <s v="PO000428"/>
        <s v="PO000429"/>
        <s v="PO000430"/>
        <s v="PO000431"/>
        <s v="PO000432"/>
        <s v="PO000433"/>
        <s v="PO000434"/>
        <s v="PO000435"/>
        <s v="PO000436"/>
        <s v="PO000437"/>
        <s v="PO000438"/>
        <s v="PO000439"/>
        <s v="PO000440"/>
        <s v="PO000441"/>
        <s v="PO000442"/>
        <s v="PO000443"/>
        <s v="PO000444"/>
        <s v="PO000445"/>
        <s v="PO000446"/>
        <s v="PO000447"/>
        <s v="PO000448"/>
        <s v="PO000449"/>
        <s v="PO000450"/>
        <s v="PO000451"/>
        <s v="PO000452"/>
        <s v="PO000453"/>
        <s v="PO000454"/>
        <s v="PO000455"/>
        <s v="PO000456"/>
        <s v="PO000457"/>
        <s v="PO000458"/>
        <s v="PO000459"/>
        <s v="PO000460"/>
        <s v="PO000461"/>
        <s v="PO000462"/>
        <s v="PO000463"/>
        <s v="PO000464"/>
        <s v="PO000465"/>
        <s v="PO000466"/>
        <s v="PO000467"/>
        <s v="PO000468"/>
        <s v="PO000469"/>
        <s v="PO000470"/>
        <s v="PO000471"/>
        <s v="PO000472"/>
      </sharedItems>
    </cacheField>
    <cacheField name="material_id" numFmtId="0">
      <sharedItems/>
    </cacheField>
    <cacheField name="material_name" numFmtId="0">
      <sharedItems count="21">
        <s v="300mm prime silicon wafer"/>
        <s v="ArF immersion photoresist"/>
        <s v="TMAH developer"/>
        <s v="Neon excimer laser gas"/>
        <s v="Nitrogen trifluoride (NF3)"/>
        <s v="Tungsten hexafluoride (WF6)"/>
        <s v="Silane (SiH4)"/>
        <s v="Ultra pure sulfuric acid"/>
        <s v="Electronic grade HF"/>
        <s v="Oxide CMP slurry"/>
        <s v="CMP polishing pad"/>
        <s v="Copper / titanium target"/>
        <s v="Hafnium ALD precursor"/>
        <s v="Etch chamber quartz kit"/>
        <s v="Litho stage spare kit"/>
        <s v="FBGA package substrate"/>
        <s v="Copper bonding wire"/>
        <s v="Epoxy mold compound"/>
        <s v="Wafer probe card"/>
        <s v="HBM underfill and interposer kit"/>
        <s v="JEDEC tray and reel set"/>
      </sharedItems>
    </cacheField>
    <cacheField name="material_category" numFmtId="0">
      <sharedItems count="14">
        <s v="Silicon wafers"/>
        <s v="Photoresist"/>
        <s v="Wet chemicals"/>
        <s v="Specialty gases"/>
        <s v="CMP consumables"/>
        <s v="Sputtering targets"/>
        <s v="ALD precursors"/>
        <s v="Chamber parts"/>
        <s v="Litho spare parts"/>
        <s v="Package substrates"/>
        <s v="Bonding &amp; mold"/>
        <s v="Probe cards"/>
        <s v="Underfill"/>
        <s v="Trays &amp; reels"/>
      </sharedItems>
    </cacheField>
    <cacheField name="uom" numFmtId="0">
      <sharedItems/>
    </cacheField>
    <cacheField name="supplier_id" numFmtId="0">
      <sharedItems/>
    </cacheField>
    <cacheField name="supplier_name" numFmtId="0">
      <sharedItems count="19">
        <s v="Kirin Silicon Works"/>
        <s v="Hokuto Photochem"/>
        <s v="Pacific Electrochem"/>
        <s v="Danube Rare Gases"/>
        <s v="Hanbit Industrial Gas"/>
        <s v="Lone Star Gas Supply"/>
        <s v="Taoyuan Fine Chemicals"/>
        <s v="Cascade Planarization"/>
        <s v="Sakura Targets"/>
        <s v="Elbe Precursor GmbH"/>
        <s v="Quartzline Components"/>
        <s v="Veldhoven Litho Service"/>
        <s v="Hsinchu Substrate Co"/>
        <s v="Penang Bond Materials"/>
        <s v="Probecard Dynamics"/>
        <s v="Kyushu Underfill"/>
        <s v="Boise Pack Solutions"/>
        <s v="Formosa Wafer Corp"/>
        <s v="Rheinland Lithomaterials"/>
      </sharedItems>
    </cacheField>
    <cacheField name="requisition_date" numFmtId="14">
      <sharedItems containsSemiMixedTypes="0" containsNonDate="0" containsDate="1" containsString="0" minDate="2023-09-11T00:00:00" maxDate="2025-12-24T00:00:00"/>
    </cacheField>
    <cacheField name="po_date" numFmtId="14">
      <sharedItems containsSemiMixedTypes="0" containsNonDate="0" containsDate="1" containsString="0" minDate="2023-09-12T00:00:00" maxDate="2025-12-29T00:00:00"/>
    </cacheField>
    <cacheField name="order_qty" numFmtId="0">
      <sharedItems containsSemiMixedTypes="0" containsString="0" containsNumber="1" minValue="1" maxValue="29753426.625"/>
    </cacheField>
    <cacheField name="unit_price" numFmtId="0">
      <sharedItems containsSemiMixedTypes="0" containsString="0" containsNumber="1" minValue="3.8999999999999998E-3" maxValue="72260.160000000003"/>
    </cacheField>
    <cacheField name="std_cost" numFmtId="0">
      <sharedItems containsSemiMixedTypes="0" containsString="0" containsNumber="1" minValue="4.0000000000000001E-3" maxValue="66950"/>
    </cacheField>
    <cacheField name="promised_date" numFmtId="14">
      <sharedItems containsSemiMixedTypes="0" containsNonDate="0" containsDate="1" containsString="0" minDate="2023-09-28T00:00:00" maxDate="2026-04-15T00:00:00"/>
    </cacheField>
    <cacheField name="receipt_date" numFmtId="14">
      <sharedItems containsSemiMixedTypes="0" containsNonDate="0" containsDate="1" containsString="0" minDate="2023-09-26T00:00:00" maxDate="2026-04-14T00:00:00" count="366">
        <d v="2023-10-25T00:00:00"/>
        <d v="2023-11-23T00:00:00"/>
        <d v="2023-10-02T00:00:00"/>
        <d v="2023-11-18T00:00:00"/>
        <d v="2023-10-23T00:00:00"/>
        <d v="2023-10-28T00:00:00"/>
        <d v="2023-10-10T00:00:00"/>
        <d v="2023-10-03T00:00:00"/>
        <d v="2023-10-19T00:00:00"/>
        <d v="2023-10-18T00:00:00"/>
        <d v="2023-11-14T00:00:00"/>
        <d v="2023-11-26T00:00:00"/>
        <d v="2023-11-01T00:00:00"/>
        <d v="2024-01-15T00:00:00"/>
        <d v="2023-11-22T00:00:00"/>
        <d v="2023-10-20T00:00:00"/>
        <d v="2023-11-06T00:00:00"/>
        <d v="2023-09-26T00:00:00"/>
        <d v="2024-01-30T00:00:00"/>
        <d v="2023-12-12T00:00:00"/>
        <d v="2023-12-05T00:00:00"/>
        <d v="2024-01-02T00:00:00"/>
        <d v="2023-11-19T00:00:00"/>
        <d v="2023-12-20T00:00:00"/>
        <d v="2023-12-08T00:00:00"/>
        <d v="2023-12-07T00:00:00"/>
        <d v="2023-11-20T00:00:00"/>
        <d v="2023-11-16T00:00:00"/>
        <d v="2023-12-01T00:00:00"/>
        <d v="2023-11-29T00:00:00"/>
        <d v="2023-12-27T00:00:00"/>
        <d v="2024-01-09T00:00:00"/>
        <d v="2024-02-28T00:00:00"/>
        <d v="2023-12-02T00:00:00"/>
        <d v="2024-03-26T00:00:00"/>
        <d v="2024-01-21T00:00:00"/>
        <d v="2024-02-09T00:00:00"/>
        <d v="2024-02-26T00:00:00"/>
        <d v="2024-01-10T00:00:00"/>
        <d v="2024-02-04T00:00:00"/>
        <d v="2024-03-13T00:00:00"/>
        <d v="2024-01-06T00:00:00"/>
        <d v="2023-12-13T00:00:00"/>
        <d v="2024-01-20T00:00:00"/>
        <d v="2024-01-07T00:00:00"/>
        <d v="2024-01-18T00:00:00"/>
        <d v="2024-01-05T00:00:00"/>
        <d v="2023-12-25T00:00:00"/>
        <d v="2024-01-11T00:00:00"/>
        <d v="2024-01-14T00:00:00"/>
        <d v="2024-02-08T00:00:00"/>
        <d v="2024-01-25T00:00:00"/>
        <d v="2024-01-23T00:00:00"/>
        <d v="2024-03-03T00:00:00"/>
        <d v="2024-03-17T00:00:00"/>
        <d v="2024-02-07T00:00:00"/>
        <d v="2024-02-13T00:00:00"/>
        <d v="2024-03-14T00:00:00"/>
        <d v="2024-03-21T00:00:00"/>
        <d v="2024-02-23T00:00:00"/>
        <d v="2024-03-20T00:00:00"/>
        <d v="2024-03-02T00:00:00"/>
        <d v="2024-03-01T00:00:00"/>
        <d v="2024-03-25T00:00:00"/>
        <d v="2024-02-06T00:00:00"/>
        <d v="2024-03-18T00:00:00"/>
        <d v="2024-05-28T00:00:00"/>
        <d v="2024-04-20T00:00:00"/>
        <d v="2024-03-31T00:00:00"/>
        <d v="2024-03-04T00:00:00"/>
        <d v="2024-04-29T00:00:00"/>
        <d v="2024-03-19T00:00:00"/>
        <d v="2024-05-05T00:00:00"/>
        <d v="2024-03-16T00:00:00"/>
        <d v="2024-03-24T00:00:00"/>
        <d v="2024-04-07T00:00:00"/>
        <d v="2024-04-10T00:00:00"/>
        <d v="2024-04-18T00:00:00"/>
        <d v="2024-03-28T00:00:00"/>
        <d v="2024-04-04T00:00:00"/>
        <d v="2024-05-03T00:00:00"/>
        <d v="2024-04-15T00:00:00"/>
        <d v="2024-07-11T00:00:00"/>
        <d v="2024-05-20T00:00:00"/>
        <d v="2024-04-12T00:00:00"/>
        <d v="2024-05-26T00:00:00"/>
        <d v="2024-04-30T00:00:00"/>
        <d v="2024-04-22T00:00:00"/>
        <d v="2024-04-06T00:00:00"/>
        <d v="2024-06-04T00:00:00"/>
        <d v="2024-05-21T00:00:00"/>
        <d v="2024-07-29T00:00:00"/>
        <d v="2024-05-08T00:00:00"/>
        <d v="2024-05-06T00:00:00"/>
        <d v="2024-05-29T00:00:00"/>
        <d v="2024-05-22T00:00:00"/>
        <d v="2024-05-10T00:00:00"/>
        <d v="2024-05-01T00:00:00"/>
        <d v="2024-06-11T00:00:00"/>
        <d v="2024-05-31T00:00:00"/>
        <d v="2024-06-13T00:00:00"/>
        <d v="2024-05-14T00:00:00"/>
        <d v="2024-07-03T00:00:00"/>
        <d v="2024-06-14T00:00:00"/>
        <d v="2024-07-22T00:00:00"/>
        <d v="2024-06-24T00:00:00"/>
        <d v="2024-06-27T00:00:00"/>
        <d v="2024-06-29T00:00:00"/>
        <d v="2024-06-26T00:00:00"/>
        <d v="2024-06-06T00:00:00"/>
        <d v="2024-07-19T00:00:00"/>
        <d v="2024-07-27T00:00:00"/>
        <d v="2024-07-23T00:00:00"/>
        <d v="2024-07-15T00:00:00"/>
        <d v="2024-06-25T00:00:00"/>
        <d v="2024-08-06T00:00:00"/>
        <d v="2024-08-14T00:00:00"/>
        <d v="2024-07-28T00:00:00"/>
        <d v="2024-07-12T00:00:00"/>
        <d v="2024-06-18T00:00:00"/>
        <d v="2024-07-16T00:00:00"/>
        <d v="2024-07-17T00:00:00"/>
        <d v="2024-08-20T00:00:00"/>
        <d v="2024-08-25T00:00:00"/>
        <d v="2024-10-25T00:00:00"/>
        <d v="2024-08-08T00:00:00"/>
        <d v="2024-08-04T00:00:00"/>
        <d v="2024-07-25T00:00:00"/>
        <d v="2024-08-12T00:00:00"/>
        <d v="2024-08-22T00:00:00"/>
        <d v="2024-09-08T00:00:00"/>
        <d v="2024-09-03T00:00:00"/>
        <d v="2024-09-01T00:00:00"/>
        <d v="2024-09-18T00:00:00"/>
        <d v="2024-08-17T00:00:00"/>
        <d v="2024-08-18T00:00:00"/>
        <d v="2024-09-26T00:00:00"/>
        <d v="2024-09-25T00:00:00"/>
        <d v="2024-08-30T00:00:00"/>
        <d v="2024-11-28T00:00:00"/>
        <d v="2024-09-09T00:00:00"/>
        <d v="2024-09-21T00:00:00"/>
        <d v="2024-10-11T00:00:00"/>
        <d v="2024-10-19T00:00:00"/>
        <d v="2024-12-15T00:00:00"/>
        <d v="2024-09-19T00:00:00"/>
        <d v="2024-08-26T00:00:00"/>
        <d v="2024-09-04T00:00:00"/>
        <d v="2024-10-31T00:00:00"/>
        <d v="2024-11-01T00:00:00"/>
        <d v="2024-11-13T00:00:00"/>
        <d v="2024-09-20T00:00:00"/>
        <d v="2024-10-03T00:00:00"/>
        <d v="2024-10-16T00:00:00"/>
        <d v="2024-10-09T00:00:00"/>
        <d v="2024-10-22T00:00:00"/>
        <d v="2024-10-17T00:00:00"/>
        <d v="2024-11-07T00:00:00"/>
        <d v="2024-11-09T00:00:00"/>
        <d v="2024-10-29T00:00:00"/>
        <d v="2024-10-04T00:00:00"/>
        <d v="2024-11-24T00:00:00"/>
        <d v="2024-12-02T00:00:00"/>
        <d v="2024-11-08T00:00:00"/>
        <d v="2024-12-18T00:00:00"/>
        <d v="2024-12-05T00:00:00"/>
        <d v="2024-11-06T00:00:00"/>
        <d v="2024-12-19T00:00:00"/>
        <d v="2024-12-26T00:00:00"/>
        <d v="2024-11-18T00:00:00"/>
        <d v="2024-11-11T00:00:00"/>
        <d v="2024-11-23T00:00:00"/>
        <d v="2024-12-13T00:00:00"/>
        <d v="2024-12-03T00:00:00"/>
        <d v="2024-12-08T00:00:00"/>
        <d v="2024-12-07T00:00:00"/>
        <d v="2025-01-09T00:00:00"/>
        <d v="2024-12-16T00:00:00"/>
        <d v="2025-01-08T00:00:00"/>
        <d v="2024-11-27T00:00:00"/>
        <d v="2024-12-23T00:00:00"/>
        <d v="2025-01-15T00:00:00"/>
        <d v="2024-12-10T00:00:00"/>
        <d v="2024-12-17T00:00:00"/>
        <d v="2025-01-23T00:00:00"/>
        <d v="2025-03-25T00:00:00"/>
        <d v="2025-01-30T00:00:00"/>
        <d v="2024-12-24T00:00:00"/>
        <d v="2025-01-12T00:00:00"/>
        <d v="2025-01-10T00:00:00"/>
        <d v="2025-04-03T00:00:00"/>
        <d v="2025-01-01T00:00:00"/>
        <d v="2025-01-04T00:00:00"/>
        <d v="2024-12-09T00:00:00"/>
        <d v="2025-01-25T00:00:00"/>
        <d v="2025-01-13T00:00:00"/>
        <d v="2024-12-29T00:00:00"/>
        <d v="2025-02-25T00:00:00"/>
        <d v="2025-02-13T00:00:00"/>
        <d v="2025-01-21T00:00:00"/>
        <d v="2025-02-01T00:00:00"/>
        <d v="2025-02-20T00:00:00"/>
        <d v="2025-05-02T00:00:00"/>
        <d v="2025-01-20T00:00:00"/>
        <d v="2025-03-04T00:00:00"/>
        <d v="2025-02-12T00:00:00"/>
        <d v="2025-03-20T00:00:00"/>
        <d v="2025-05-13T00:00:00"/>
        <d v="2025-03-05T00:00:00"/>
        <d v="2025-02-03T00:00:00"/>
        <d v="2025-02-17T00:00:00"/>
        <d v="2025-03-26T00:00:00"/>
        <d v="2025-02-21T00:00:00"/>
        <d v="2025-01-29T00:00:00"/>
        <d v="2025-03-07T00:00:00"/>
        <d v="2025-03-30T00:00:00"/>
        <d v="2025-02-27T00:00:00"/>
        <d v="2025-03-18T00:00:00"/>
        <d v="2025-02-22T00:00:00"/>
        <d v="2025-03-21T00:00:00"/>
        <d v="2025-03-12T00:00:00"/>
        <d v="2025-04-07T00:00:00"/>
        <d v="2025-04-15T00:00:00"/>
        <d v="2025-03-02T00:00:00"/>
        <d v="2025-04-10T00:00:00"/>
        <d v="2025-04-25T00:00:00"/>
        <d v="2025-03-19T00:00:00"/>
        <d v="2025-03-17T00:00:00"/>
        <d v="2025-03-01T00:00:00"/>
        <d v="2025-03-31T00:00:00"/>
        <d v="2025-03-24T00:00:00"/>
        <d v="2025-06-21T00:00:00"/>
        <d v="2025-05-08T00:00:00"/>
        <d v="2025-04-16T00:00:00"/>
        <d v="2025-04-08T00:00:00"/>
        <d v="2025-05-14T00:00:00"/>
        <d v="2025-05-01T00:00:00"/>
        <d v="2025-05-04T00:00:00"/>
        <d v="2025-04-17T00:00:00"/>
        <d v="2025-05-12T00:00:00"/>
        <d v="2025-05-20T00:00:00"/>
        <d v="2025-05-25T00:00:00"/>
        <d v="2025-04-27T00:00:00"/>
        <d v="2025-04-20T00:00:00"/>
        <d v="2025-04-23T00:00:00"/>
        <d v="2025-04-05T00:00:00"/>
        <d v="2025-04-22T00:00:00"/>
        <d v="2025-04-14T00:00:00"/>
        <d v="2025-05-06T00:00:00"/>
        <d v="2025-06-15T00:00:00"/>
        <d v="2025-05-18T00:00:00"/>
        <d v="2025-04-13T00:00:00"/>
        <d v="2025-06-13T00:00:00"/>
        <d v="2025-06-03T00:00:00"/>
        <d v="2025-05-21T00:00:00"/>
        <d v="2025-06-19T00:00:00"/>
        <d v="2025-06-24T00:00:00"/>
        <d v="2025-06-11T00:00:00"/>
        <d v="2025-06-04T00:00:00"/>
        <d v="2025-05-16T00:00:00"/>
        <d v="2025-05-26T00:00:00"/>
        <d v="2025-05-11T00:00:00"/>
        <d v="2025-11-16T00:00:00"/>
        <d v="2025-07-15T00:00:00"/>
        <d v="2025-07-01T00:00:00"/>
        <d v="2025-07-02T00:00:00"/>
        <d v="2025-06-05T00:00:00"/>
        <d v="2025-06-25T00:00:00"/>
        <d v="2025-07-14T00:00:00"/>
        <d v="2025-07-20T00:00:00"/>
        <d v="2025-07-17T00:00:00"/>
        <d v="2025-06-18T00:00:00"/>
        <d v="2025-08-17T00:00:00"/>
        <d v="2025-06-29T00:00:00"/>
        <d v="2025-06-30T00:00:00"/>
        <d v="2025-07-21T00:00:00"/>
        <d v="2025-06-09T00:00:00"/>
        <d v="2025-08-11T00:00:00"/>
        <d v="2025-07-22T00:00:00"/>
        <d v="2025-07-18T00:00:00"/>
        <d v="2025-08-18T00:00:00"/>
        <d v="2025-07-27T00:00:00"/>
        <d v="2025-07-07T00:00:00"/>
        <d v="2025-08-12T00:00:00"/>
        <d v="2025-08-07T00:00:00"/>
        <d v="2025-08-29T00:00:00"/>
        <d v="2025-10-30T00:00:00"/>
        <d v="2025-08-28T00:00:00"/>
        <d v="2025-07-24T00:00:00"/>
        <d v="2025-09-08T00:00:00"/>
        <d v="2025-08-04T00:00:00"/>
        <d v="2025-08-03T00:00:00"/>
        <d v="2025-09-01T00:00:00"/>
        <d v="2025-09-02T00:00:00"/>
        <d v="2025-08-22T00:00:00"/>
        <d v="2025-09-23T00:00:00"/>
        <d v="2025-09-03T00:00:00"/>
        <d v="2025-08-26T00:00:00"/>
        <d v="2025-11-25T00:00:00"/>
        <d v="2025-10-08T00:00:00"/>
        <d v="2025-09-09T00:00:00"/>
        <d v="2025-10-03T00:00:00"/>
        <d v="2025-09-25T00:00:00"/>
        <d v="2025-08-27T00:00:00"/>
        <d v="2025-09-30T00:00:00"/>
        <d v="2025-09-17T00:00:00"/>
        <d v="2025-10-28T00:00:00"/>
        <d v="2025-10-14T00:00:00"/>
        <d v="2025-10-18T00:00:00"/>
        <d v="2025-10-07T00:00:00"/>
        <d v="2025-11-11T00:00:00"/>
        <d v="2025-10-22T00:00:00"/>
        <d v="2026-01-06T00:00:00"/>
        <d v="2025-11-10T00:00:00"/>
        <d v="2025-10-09T00:00:00"/>
        <d v="2025-09-16T00:00:00"/>
        <d v="2025-10-01T00:00:00"/>
        <d v="2025-11-27T00:00:00"/>
        <d v="2025-10-25T00:00:00"/>
        <d v="2025-11-18T00:00:00"/>
        <d v="2025-12-17T00:00:00"/>
        <d v="2025-11-06T00:00:00"/>
        <d v="2025-10-16T00:00:00"/>
        <d v="2025-11-26T00:00:00"/>
        <d v="2025-12-03T00:00:00"/>
        <d v="2025-11-07T00:00:00"/>
        <d v="2025-11-14T00:00:00"/>
        <d v="2025-12-20T00:00:00"/>
        <d v="2025-11-29T00:00:00"/>
        <d v="2025-12-16T00:00:00"/>
        <d v="2025-10-19T00:00:00"/>
        <d v="2025-11-03T00:00:00"/>
        <d v="2025-11-20T00:00:00"/>
        <d v="2025-12-23T00:00:00"/>
        <d v="2026-01-01T00:00:00"/>
        <d v="2025-12-26T00:00:00"/>
        <d v="2025-12-25T00:00:00"/>
        <d v="2025-12-12T00:00:00"/>
        <d v="2025-11-17T00:00:00"/>
        <d v="2025-12-18T00:00:00"/>
        <d v="2025-12-01T00:00:00"/>
        <d v="2025-12-08T00:00:00"/>
        <d v="2026-01-16T00:00:00"/>
        <d v="2026-01-02T00:00:00"/>
        <d v="2026-01-18T00:00:00"/>
        <d v="2025-12-19T00:00:00"/>
        <d v="2026-01-11T00:00:00"/>
        <d v="2025-12-11T00:00:00"/>
        <d v="2025-12-09T00:00:00"/>
        <d v="2026-03-27T00:00:00"/>
        <d v="2026-02-03T00:00:00"/>
        <d v="2026-01-10T00:00:00"/>
        <d v="2026-01-25T00:00:00"/>
        <d v="2026-01-12T00:00:00"/>
        <d v="2026-04-11T00:00:00"/>
        <d v="2026-01-30T00:00:00"/>
        <d v="2026-04-13T00:00:00"/>
        <d v="2026-01-28T00:00:00"/>
        <d v="2026-01-21T00:00:00"/>
        <d v="2026-02-24T00:00:00"/>
        <d v="2026-02-04T00:00:00"/>
        <d v="2026-02-26T00:00:00"/>
        <d v="2026-01-31T00:00:00"/>
        <d v="2025-12-28T00:00:00"/>
        <d v="2026-02-21T00:00:00"/>
        <d v="2026-02-19T00:00:00"/>
      </sharedItems>
      <fieldGroup par="27"/>
    </cacheField>
    <cacheField name="received_qty" numFmtId="0">
      <sharedItems containsSemiMixedTypes="0" containsString="0" containsNumber="1" minValue="1" maxValue="29669868.673999999"/>
    </cacheField>
    <cacheField name="po_type" numFmtId="0">
      <sharedItems/>
    </cacheField>
    <cacheField name="On_Time" numFmtId="0">
      <sharedItems containsSemiMixedTypes="0" containsString="0" containsNumber="1" containsInteger="1" minValue="0" maxValue="1"/>
    </cacheField>
    <cacheField name="In_Full" numFmtId="0">
      <sharedItems containsSemiMixedTypes="0" containsString="0" containsNumber="1" containsInteger="1" minValue="0" maxValue="1"/>
    </cacheField>
    <cacheField name="OTIF" numFmtId="0">
      <sharedItems containsSemiMixedTypes="0" containsString="0" containsNumber="1" containsInteger="1" minValue="0" maxValue="1"/>
    </cacheField>
    <cacheField name="Lead_Time_Days" numFmtId="0">
      <sharedItems containsSemiMixedTypes="0" containsString="0" containsNumber="1" containsInteger="1" minValue="11" maxValue="197" count="67">
        <n v="39"/>
        <n v="68"/>
        <n v="18"/>
        <n v="65"/>
        <n v="41"/>
        <n v="40"/>
        <n v="25"/>
        <n v="20"/>
        <n v="19"/>
        <n v="34"/>
        <n v="32"/>
        <n v="61"/>
        <n v="73"/>
        <n v="46"/>
        <n v="123"/>
        <n v="33"/>
        <n v="70"/>
        <n v="53"/>
        <n v="12"/>
        <n v="125"/>
        <n v="13"/>
        <n v="69"/>
        <n v="21"/>
        <n v="55"/>
        <n v="26"/>
        <n v="71"/>
        <n v="80"/>
        <n v="42"/>
        <n v="35"/>
        <n v="56"/>
        <n v="89"/>
        <n v="67"/>
        <n v="104"/>
        <n v="30"/>
        <n v="28"/>
        <n v="63"/>
        <n v="48"/>
        <n v="59"/>
        <n v="54"/>
        <n v="45"/>
        <n v="11"/>
        <n v="14"/>
        <n v="47"/>
        <n v="27"/>
        <n v="62"/>
        <n v="66"/>
        <n v="50"/>
        <n v="49"/>
        <n v="78"/>
        <n v="64"/>
        <n v="72"/>
        <n v="126"/>
        <n v="79"/>
        <n v="58"/>
        <n v="76"/>
        <n v="77"/>
        <n v="24"/>
        <n v="82"/>
        <n v="124"/>
        <n v="113"/>
        <n v="75"/>
        <n v="197"/>
        <n v="37"/>
        <n v="51"/>
        <n v="60"/>
        <n v="17"/>
        <n v="44"/>
      </sharedItems>
    </cacheField>
    <cacheField name="Order_Year" numFmtId="0">
      <sharedItems containsSemiMixedTypes="0" containsString="0" containsNumber="1" containsInteger="1" minValue="2023" maxValue="2025" count="3">
        <n v="2023"/>
        <n v="2024"/>
        <n v="2025"/>
      </sharedItems>
    </cacheField>
    <cacheField name="Order_Month" numFmtId="0">
      <sharedItems containsSemiMixedTypes="0" containsString="0" containsNumber="1" containsInteger="1" minValue="45170" maxValue="45992"/>
    </cacheField>
    <cacheField name="Spend_USD" numFmtId="0">
      <sharedItems containsSemiMixedTypes="0" containsString="0" containsNumber="1" minValue="44049.161447999999" maxValue="13974807.840000002"/>
    </cacheField>
    <cacheField name="Std_Value_USD" numFmtId="0">
      <sharedItems containsSemiMixedTypes="0" containsString="0" containsNumber="1" minValue="45150.390484200005" maxValue="13708800"/>
    </cacheField>
    <cacheField name="PPV_USD" numFmtId="0">
      <sharedItems containsSemiMixedTypes="0" containsString="0" containsNumber="1" minValue="-402685.20543680008" maxValue="266007.84000000096"/>
    </cacheField>
    <cacheField name="Months (receipt_date)" numFmtId="0" databaseField="0">
      <fieldGroup base="13">
        <rangePr groupBy="months" startDate="2023-09-26T00:00:00" endDate="2026-04-14T00:00:00"/>
        <groupItems count="14">
          <s v="&lt;26-09-2023"/>
          <s v="Jan"/>
          <s v="Feb"/>
          <s v="Mar"/>
          <s v="Apr"/>
          <s v="May"/>
          <s v="Jun"/>
          <s v="Jul"/>
          <s v="Aug"/>
          <s v="Sep"/>
          <s v="Oct"/>
          <s v="Nov"/>
          <s v="Dec"/>
          <s v="&gt;14-04-2026"/>
        </groupItems>
      </fieldGroup>
    </cacheField>
    <cacheField name="Quarters (receipt_date)" numFmtId="0" databaseField="0">
      <fieldGroup base="13">
        <rangePr groupBy="quarters" startDate="2023-09-26T00:00:00" endDate="2026-04-14T00:00:00"/>
        <groupItems count="6">
          <s v="&lt;26-09-2023"/>
          <s v="Qtr1"/>
          <s v="Qtr2"/>
          <s v="Qtr3"/>
          <s v="Qtr4"/>
          <s v="&gt;14-04-2026"/>
        </groupItems>
      </fieldGroup>
    </cacheField>
    <cacheField name="Years (receipt_date)" numFmtId="0" databaseField="0">
      <fieldGroup base="13">
        <rangePr groupBy="years" startDate="2023-09-26T00:00:00" endDate="2026-04-14T00:00:00"/>
        <groupItems count="6">
          <s v="&lt;26-09-2023"/>
          <s v="2023"/>
          <s v="2024"/>
          <s v="2025"/>
          <s v="2026"/>
          <s v="&gt;14-04-2026"/>
        </groupItems>
      </fieldGroup>
    </cacheField>
    <cacheField name="PPV_Pct" numFmtId="0" formula="PPV_USD/Std_Value_USD" databaseField="0"/>
  </cacheFields>
  <extLst>
    <ext xmlns:x14="http://schemas.microsoft.com/office/spreadsheetml/2009/9/main" uri="{725AE2AE-9491-48be-B2B4-4EB974FC3084}">
      <x14:pivotCacheDefinition pivotCacheId="34093143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nj patel" refreshedDate="46306.662375694446" createdVersion="8" refreshedVersion="8" minRefreshableVersion="3" recordCount="450" xr:uid="{1C78A5EF-719C-41B4-947B-75D79B8B1D56}">
  <cacheSource type="worksheet">
    <worksheetSource name="Receiving_Data"/>
  </cacheSource>
  <cacheFields count="14">
    <cacheField name="receipt_id" numFmtId="0">
      <sharedItems/>
    </cacheField>
    <cacheField name="po_id" numFmtId="0">
      <sharedItems/>
    </cacheField>
    <cacheField name="receipt_date" numFmtId="14">
      <sharedItems containsSemiMixedTypes="0" containsNonDate="0" containsDate="1" containsString="0" minDate="2023-09-26T00:00:00" maxDate="2025-12-29T00:00:00"/>
    </cacheField>
    <cacheField name="material_id" numFmtId="0">
      <sharedItems/>
    </cacheField>
    <cacheField name="material_name" numFmtId="0">
      <sharedItems count="21">
        <s v="Etch chamber quartz kit"/>
        <s v="Copper / titanium target"/>
        <s v="Wafer probe card"/>
        <s v="Litho stage spare kit"/>
        <s v="JEDEC tray and reel set"/>
        <s v="TMAH developer"/>
        <s v="Ultra pure sulfuric acid"/>
        <s v="Electronic grade HF"/>
        <s v="Silane (SiH4)"/>
        <s v="Oxide CMP slurry"/>
        <s v="CMP polishing pad"/>
        <s v="Copper bonding wire"/>
        <s v="Epoxy mold compound"/>
        <s v="300mm prime silicon wafer"/>
        <s v="Nitrogen trifluoride (NF3)"/>
        <s v="Tungsten hexafluoride (WF6)"/>
        <s v="HBM underfill and interposer kit"/>
        <s v="Neon excimer laser gas"/>
        <s v="ArF immersion photoresist"/>
        <s v="Hafnium ALD precursor"/>
        <s v="FBGA package substrate"/>
      </sharedItems>
    </cacheField>
    <cacheField name="material_category" numFmtId="0">
      <sharedItems/>
    </cacheField>
    <cacheField name="uom" numFmtId="0">
      <sharedItems/>
    </cacheField>
    <cacheField name="supplier_id" numFmtId="0">
      <sharedItems/>
    </cacheField>
    <cacheField name="supplier_name" numFmtId="0">
      <sharedItems count="19">
        <s v="Quartzline Components"/>
        <s v="Sakura Targets"/>
        <s v="Probecard Dynamics"/>
        <s v="Veldhoven Litho Service"/>
        <s v="Boise Pack Solutions"/>
        <s v="Pacific Electrochem"/>
        <s v="Taoyuan Fine Chemicals"/>
        <s v="Lone Star Gas Supply"/>
        <s v="Cascade Planarization"/>
        <s v="Penang Bond Materials"/>
        <s v="Kirin Silicon Works"/>
        <s v="Hanbit Industrial Gas"/>
        <s v="Kyushu Underfill"/>
        <s v="Danube Rare Gases"/>
        <s v="Hokuto Photochem"/>
        <s v="Elbe Precursor GmbH"/>
        <s v="Hsinchu Substrate Co"/>
        <s v="Formosa Wafer Corp"/>
        <s v="Rheinland Lithomaterials"/>
      </sharedItems>
    </cacheField>
    <cacheField name="qty_received" numFmtId="0">
      <sharedItems containsSemiMixedTypes="0" containsString="0" containsNumber="1" minValue="1" maxValue="29669868.673999999"/>
    </cacheField>
    <cacheField name="qty_rejected" numFmtId="0">
      <sharedItems containsSemiMixedTypes="0" containsString="0" containsNumber="1" minValue="0" maxValue="370641.99300000002"/>
    </cacheField>
    <cacheField name="defect_type" numFmtId="0">
      <sharedItems containsBlank="1"/>
    </cacheField>
    <cacheField name="Receipt_Year" numFmtId="0">
      <sharedItems count="3">
        <s v="2023"/>
        <s v="2024"/>
        <s v="2025"/>
      </sharedItems>
    </cacheField>
    <cacheField name="PPM" numFmtId="0" formula="qty_rejected/qty_received*1000000" databaseField="0"/>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nj patel" refreshedDate="46307.176285879628" createdVersion="8" refreshedVersion="8" minRefreshableVersion="3" recordCount="14" xr:uid="{231C110C-20E8-4E00-AA1F-4542E76F6516}">
  <cacheSource type="worksheet">
    <worksheetSource name="Sourcing_Data"/>
  </cacheSource>
  <cacheFields count="16">
    <cacheField name="event_id" numFmtId="0">
      <sharedItems/>
    </cacheField>
    <cacheField name="event_type" numFmtId="0">
      <sharedItems count="4">
        <s v="RFQ"/>
        <s v="RFP"/>
        <s v="RFI"/>
        <s v="Price increase negotiation"/>
      </sharedItems>
    </cacheField>
    <cacheField name="material_id" numFmtId="0">
      <sharedItems/>
    </cacheField>
    <cacheField name="material_name" numFmtId="0">
      <sharedItems count="14">
        <s v="300mm prime silicon wafer"/>
        <s v="Ultra pure sulfuric acid"/>
        <s v="Nitrogen trifluoride (NF3)"/>
        <s v="Oxide CMP slurry"/>
        <s v="FBGA package substrate"/>
        <s v="Copper bonding wire"/>
        <s v="ArF immersion photoresist"/>
        <s v="TMAH developer"/>
        <s v="JEDEC tray and reel set"/>
        <s v="Litho stage spare kit"/>
        <s v="Tungsten hexafluoride (WF6)"/>
        <s v="Copper / titanium target"/>
        <s v="Hafnium ALD precursor"/>
        <s v="Neon excimer laser gas"/>
      </sharedItems>
    </cacheField>
    <cacheField name="start_date" numFmtId="14">
      <sharedItems containsSemiMixedTypes="0" containsNonDate="0" containsDate="1" containsString="0" minDate="2024-07-22T00:00:00" maxDate="2025-04-29T00:00:00"/>
    </cacheField>
    <cacheField name="award_date" numFmtId="14">
      <sharedItems containsNonDate="0" containsDate="1" containsString="0" containsBlank="1" minDate="2024-08-05T00:00:00" maxDate="2025-05-13T00:00:00"/>
    </cacheField>
    <cacheField name="incumbent_supplier" numFmtId="0">
      <sharedItems/>
    </cacheField>
    <cacheField name="awarded_supplier" numFmtId="0">
      <sharedItems containsBlank="1"/>
    </cacheField>
    <cacheField name="baseline_unit_price" numFmtId="0">
      <sharedItems containsSemiMixedTypes="0" containsString="0" containsNumber="1" minValue="4.1000000000000003E-3" maxValue="49440"/>
    </cacheField>
    <cacheField name="awarded_unit_price" numFmtId="0">
      <sharedItems containsString="0" containsBlank="1" containsNumber="1" minValue="4.0000000000000001E-3" maxValue="9690"/>
    </cacheField>
    <cacheField name="est_annual_volume" numFmtId="0">
      <sharedItems containsSemiMixedTypes="0" containsString="0" containsNumber="1" containsInteger="1" minValue="0" maxValue="237424734"/>
    </cacheField>
    <cacheField name="requested_increase_pct" numFmtId="0">
      <sharedItems containsString="0" containsBlank="1" containsNumber="1" minValue="7.0000000000000007E-2" maxValue="0.15"/>
    </cacheField>
    <cacheField name="negotiated_increase_pct" numFmtId="0">
      <sharedItems containsString="0" containsBlank="1" containsNumber="1" minValue="0.02" maxValue="0.06"/>
    </cacheField>
    <cacheField name="Cost_Savings_USD" numFmtId="0">
      <sharedItems containsSemiMixedTypes="0" containsString="0" containsNumber="1" minValue="0" maxValue="4375488"/>
    </cacheField>
    <cacheField name="Cost_Avoidance_USD" numFmtId="0">
      <sharedItems containsSemiMixedTypes="0" containsString="0" containsNumber="1" minValue="0" maxValue="491212.79999999993"/>
    </cacheField>
    <cacheField name="Award_Year" numFmtId="0">
      <sharedItems containsString="0" containsBlank="1" containsNumber="1" containsInteger="1" minValue="2024" maxValue="2025" count="3">
        <n v="2024"/>
        <n v="2025"/>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2">
  <r>
    <x v="0"/>
    <s v="M01"/>
    <x v="0"/>
    <x v="0"/>
    <s v="wafer"/>
    <s v="S01"/>
    <x v="0"/>
    <d v="2023-09-12T00:00:00"/>
    <d v="2023-09-16T00:00:00"/>
    <n v="31200"/>
    <n v="116.32"/>
    <n v="118"/>
    <d v="2023-10-28T00:00:00"/>
    <x v="0"/>
    <n v="31200"/>
    <s v="Standard"/>
    <n v="1"/>
    <n v="1"/>
    <n v="1"/>
    <x v="0"/>
    <x v="0"/>
    <n v="45170"/>
    <n v="3629184"/>
    <n v="3681600"/>
    <n v="-52416.000000000211"/>
  </r>
  <r>
    <x v="1"/>
    <s v="M02"/>
    <x v="1"/>
    <x v="1"/>
    <s v="liter"/>
    <s v="S03"/>
    <x v="1"/>
    <d v="2023-09-12T00:00:00"/>
    <d v="2023-09-16T00:00:00"/>
    <n v="1092"/>
    <n v="2382.9699999999998"/>
    <n v="2400"/>
    <d v="2023-11-25T00:00:00"/>
    <x v="1"/>
    <n v="1092"/>
    <s v="Standard"/>
    <n v="1"/>
    <n v="1"/>
    <n v="1"/>
    <x v="1"/>
    <x v="0"/>
    <n v="45170"/>
    <n v="2602203.2399999998"/>
    <n v="2620800"/>
    <n v="-18596.76000000022"/>
  </r>
  <r>
    <x v="2"/>
    <s v="M03"/>
    <x v="2"/>
    <x v="2"/>
    <s v="liter"/>
    <s v="S06"/>
    <x v="2"/>
    <d v="2023-09-11T00:00:00"/>
    <d v="2023-09-14T00:00:00"/>
    <n v="56160"/>
    <n v="9.3800000000000008"/>
    <n v="9.5"/>
    <d v="2023-10-05T00:00:00"/>
    <x v="2"/>
    <n v="56160"/>
    <s v="Standard"/>
    <n v="1"/>
    <n v="1"/>
    <n v="1"/>
    <x v="2"/>
    <x v="0"/>
    <n v="45170"/>
    <n v="526780.80000000005"/>
    <n v="533520"/>
    <n v="-6739.1999999999562"/>
  </r>
  <r>
    <x v="3"/>
    <s v="M04"/>
    <x v="3"/>
    <x v="3"/>
    <s v="cylinder"/>
    <s v="S05"/>
    <x v="3"/>
    <d v="2023-09-11T00:00:00"/>
    <d v="2023-09-14T00:00:00"/>
    <n v="187.2"/>
    <n v="1823.48"/>
    <n v="1850"/>
    <d v="2023-11-09T00:00:00"/>
    <x v="3"/>
    <n v="187.2"/>
    <s v="Standard"/>
    <n v="0"/>
    <n v="1"/>
    <n v="0"/>
    <x v="3"/>
    <x v="0"/>
    <n v="45170"/>
    <n v="341355.45600000001"/>
    <n v="346320"/>
    <n v="-4964.5439999999962"/>
  </r>
  <r>
    <x v="4"/>
    <s v="M05"/>
    <x v="4"/>
    <x v="3"/>
    <s v="kg"/>
    <s v="S07"/>
    <x v="4"/>
    <d v="2023-09-11T00:00:00"/>
    <d v="2023-09-12T00:00:00"/>
    <n v="28080"/>
    <n v="27.79"/>
    <n v="28"/>
    <d v="2023-10-24T00:00:00"/>
    <x v="4"/>
    <n v="28080"/>
    <s v="Standard"/>
    <n v="1"/>
    <n v="1"/>
    <n v="1"/>
    <x v="4"/>
    <x v="0"/>
    <n v="45170"/>
    <n v="780343.2"/>
    <n v="786240"/>
    <n v="-5896.8000000000238"/>
  </r>
  <r>
    <x v="5"/>
    <s v="M06"/>
    <x v="5"/>
    <x v="3"/>
    <s v="kg"/>
    <s v="S07"/>
    <x v="4"/>
    <d v="2023-09-13T00:00:00"/>
    <d v="2023-09-18T00:00:00"/>
    <n v="2496"/>
    <n v="402.11"/>
    <n v="410"/>
    <d v="2023-10-30T00:00:00"/>
    <x v="5"/>
    <n v="2496"/>
    <s v="Standard"/>
    <n v="1"/>
    <n v="1"/>
    <n v="1"/>
    <x v="5"/>
    <x v="0"/>
    <n v="45170"/>
    <n v="1003666.56"/>
    <n v="1023360"/>
    <n v="-19693.439999999966"/>
  </r>
  <r>
    <x v="6"/>
    <s v="M07"/>
    <x v="6"/>
    <x v="3"/>
    <s v="kg"/>
    <s v="S08"/>
    <x v="5"/>
    <d v="2023-09-13T00:00:00"/>
    <d v="2023-09-15T00:00:00"/>
    <n v="3744"/>
    <n v="156.71"/>
    <n v="160"/>
    <d v="2023-10-13T00:00:00"/>
    <x v="6"/>
    <n v="3744"/>
    <s v="Standard"/>
    <n v="1"/>
    <n v="1"/>
    <n v="1"/>
    <x v="6"/>
    <x v="0"/>
    <n v="45170"/>
    <n v="586722.24"/>
    <n v="599040"/>
    <n v="-12317.759999999969"/>
  </r>
  <r>
    <x v="7"/>
    <s v="M08"/>
    <x v="7"/>
    <x v="2"/>
    <s v="liter"/>
    <s v="S09"/>
    <x v="6"/>
    <d v="2023-09-11T00:00:00"/>
    <d v="2023-09-13T00:00:00"/>
    <n v="187200"/>
    <n v="4.13"/>
    <n v="4.2"/>
    <d v="2023-10-04T00:00:00"/>
    <x v="7"/>
    <n v="187200"/>
    <s v="Standard"/>
    <n v="1"/>
    <n v="1"/>
    <n v="1"/>
    <x v="7"/>
    <x v="0"/>
    <n v="45170"/>
    <n v="773136"/>
    <n v="786240"/>
    <n v="-13104.000000000053"/>
  </r>
  <r>
    <x v="8"/>
    <s v="M09"/>
    <x v="8"/>
    <x v="2"/>
    <s v="liter"/>
    <s v="S09"/>
    <x v="6"/>
    <d v="2023-09-13T00:00:00"/>
    <d v="2023-09-14T00:00:00"/>
    <n v="78000"/>
    <n v="6.76"/>
    <n v="6.8"/>
    <d v="2023-10-05T00:00:00"/>
    <x v="7"/>
    <n v="78000"/>
    <s v="Standard"/>
    <n v="1"/>
    <n v="1"/>
    <n v="1"/>
    <x v="8"/>
    <x v="0"/>
    <n v="45170"/>
    <n v="527280"/>
    <n v="530400"/>
    <n v="-3120.0000000000027"/>
  </r>
  <r>
    <x v="9"/>
    <s v="M10"/>
    <x v="9"/>
    <x v="4"/>
    <s v="liter"/>
    <s v="S10"/>
    <x v="7"/>
    <d v="2023-09-13T00:00:00"/>
    <d v="2023-09-15T00:00:00"/>
    <n v="18720"/>
    <n v="38.49"/>
    <n v="38"/>
    <d v="2023-10-20T00:00:00"/>
    <x v="8"/>
    <n v="18720"/>
    <s v="Standard"/>
    <n v="1"/>
    <n v="1"/>
    <n v="1"/>
    <x v="9"/>
    <x v="0"/>
    <n v="45170"/>
    <n v="720532.8"/>
    <n v="711360"/>
    <n v="9172.8000000000375"/>
  </r>
  <r>
    <x v="10"/>
    <s v="M11"/>
    <x v="10"/>
    <x v="4"/>
    <s v="each"/>
    <s v="S10"/>
    <x v="7"/>
    <d v="2023-09-13T00:00:00"/>
    <d v="2023-09-16T00:00:00"/>
    <n v="374.4"/>
    <n v="522.83000000000004"/>
    <n v="520"/>
    <d v="2023-10-21T00:00:00"/>
    <x v="9"/>
    <n v="374.4"/>
    <s v="Standard"/>
    <n v="1"/>
    <n v="1"/>
    <n v="1"/>
    <x v="10"/>
    <x v="0"/>
    <n v="45170"/>
    <n v="195747.552"/>
    <n v="194688"/>
    <n v="1059.5520000000154"/>
  </r>
  <r>
    <x v="11"/>
    <s v="M12"/>
    <x v="11"/>
    <x v="5"/>
    <s v="each"/>
    <s v="S11"/>
    <x v="8"/>
    <d v="2023-09-12T00:00:00"/>
    <d v="2023-09-14T00:00:00"/>
    <n v="18.72"/>
    <n v="9341.8799999999992"/>
    <n v="9500"/>
    <d v="2023-11-16T00:00:00"/>
    <x v="10"/>
    <n v="18.72"/>
    <s v="Standard"/>
    <n v="1"/>
    <n v="1"/>
    <n v="1"/>
    <x v="11"/>
    <x v="0"/>
    <n v="45170"/>
    <n v="174879.99359999999"/>
    <n v="177840"/>
    <n v="-2960.0064000000148"/>
  </r>
  <r>
    <x v="12"/>
    <s v="M13"/>
    <x v="12"/>
    <x v="6"/>
    <s v="kg"/>
    <s v="S12"/>
    <x v="9"/>
    <d v="2023-09-11T00:00:00"/>
    <d v="2023-09-14T00:00:00"/>
    <n v="124.8"/>
    <n v="3899.69"/>
    <n v="3900"/>
    <d v="2023-11-23T00:00:00"/>
    <x v="11"/>
    <n v="124.8"/>
    <s v="Standard"/>
    <n v="0"/>
    <n v="1"/>
    <n v="0"/>
    <x v="12"/>
    <x v="0"/>
    <n v="45170"/>
    <n v="486681.31199999998"/>
    <n v="486720"/>
    <n v="-38.687999999993188"/>
  </r>
  <r>
    <x v="13"/>
    <s v="M14"/>
    <x v="13"/>
    <x v="7"/>
    <s v="kit"/>
    <s v="S13"/>
    <x v="10"/>
    <d v="2023-09-13T00:00:00"/>
    <d v="2023-09-16T00:00:00"/>
    <n v="24.96"/>
    <n v="6084.32"/>
    <n v="6200"/>
    <d v="2023-11-04T00:00:00"/>
    <x v="12"/>
    <n v="24.96"/>
    <s v="Standard"/>
    <n v="1"/>
    <n v="1"/>
    <n v="1"/>
    <x v="13"/>
    <x v="0"/>
    <n v="45170"/>
    <n v="151864.62719999999"/>
    <n v="154752"/>
    <n v="-2887.3728000000074"/>
  </r>
  <r>
    <x v="14"/>
    <s v="M15"/>
    <x v="14"/>
    <x v="8"/>
    <s v="kit"/>
    <s v="S14"/>
    <x v="11"/>
    <d v="2023-09-13T00:00:00"/>
    <d v="2023-09-14T00:00:00"/>
    <n v="3.0249999999999999"/>
    <n v="47187.45"/>
    <n v="48000"/>
    <d v="2024-01-18T00:00:00"/>
    <x v="13"/>
    <n v="3.0249999999999999"/>
    <s v="Standard"/>
    <n v="1"/>
    <n v="1"/>
    <n v="1"/>
    <x v="14"/>
    <x v="0"/>
    <n v="45170"/>
    <n v="142742.03624999998"/>
    <n v="145200"/>
    <n v="-2457.9637500000085"/>
  </r>
  <r>
    <x v="15"/>
    <s v="M16"/>
    <x v="15"/>
    <x v="9"/>
    <s v="each"/>
    <s v="S15"/>
    <x v="12"/>
    <d v="2023-09-12T00:00:00"/>
    <d v="2023-09-15T00:00:00"/>
    <n v="29669868.673999999"/>
    <n v="0.1095"/>
    <n v="0.11"/>
    <d v="2023-11-24T00:00:00"/>
    <x v="14"/>
    <n v="29669868.673999999"/>
    <s v="Standard"/>
    <n v="1"/>
    <n v="1"/>
    <n v="1"/>
    <x v="1"/>
    <x v="0"/>
    <n v="45170"/>
    <n v="3248850.6198029998"/>
    <n v="3263685.5541399997"/>
    <n v="-14834.934337000013"/>
  </r>
  <r>
    <x v="16"/>
    <s v="M17"/>
    <x v="16"/>
    <x v="10"/>
    <s v="meter"/>
    <s v="S16"/>
    <x v="13"/>
    <d v="2023-09-13T00:00:00"/>
    <d v="2023-09-16T00:00:00"/>
    <n v="17801921.204999998"/>
    <n v="4.0000000000000001E-3"/>
    <n v="4.0000000000000001E-3"/>
    <d v="2023-10-21T00:00:00"/>
    <x v="15"/>
    <n v="17801921.204999998"/>
    <s v="Standard"/>
    <n v="1"/>
    <n v="1"/>
    <n v="1"/>
    <x v="9"/>
    <x v="0"/>
    <n v="45170"/>
    <n v="71207.684819999995"/>
    <n v="71207.684819999995"/>
    <n v="0"/>
  </r>
  <r>
    <x v="17"/>
    <s v="M18"/>
    <x v="17"/>
    <x v="10"/>
    <s v="gram"/>
    <s v="S16"/>
    <x v="13"/>
    <d v="2023-09-12T00:00:00"/>
    <d v="2023-09-16T00:00:00"/>
    <n v="10384454.036"/>
    <n v="1.9599999999999999E-2"/>
    <n v="0.02"/>
    <d v="2023-10-21T00:00:00"/>
    <x v="8"/>
    <n v="10384454.036"/>
    <s v="Standard"/>
    <n v="1"/>
    <n v="1"/>
    <n v="1"/>
    <x v="15"/>
    <x v="0"/>
    <n v="45170"/>
    <n v="203535.29910559999"/>
    <n v="207689.08072"/>
    <n v="-4153.7816144000108"/>
  </r>
  <r>
    <x v="18"/>
    <s v="M19"/>
    <x v="18"/>
    <x v="11"/>
    <s v="each"/>
    <s v="S17"/>
    <x v="14"/>
    <d v="2023-09-12T00:00:00"/>
    <d v="2023-09-13T00:00:00"/>
    <n v="1.375"/>
    <n v="65368.05"/>
    <n v="65000"/>
    <d v="2023-11-22T00:00:00"/>
    <x v="14"/>
    <n v="1.375"/>
    <s v="Standard"/>
    <n v="1"/>
    <n v="1"/>
    <n v="1"/>
    <x v="16"/>
    <x v="0"/>
    <n v="45170"/>
    <n v="89881.068750000006"/>
    <n v="89375"/>
    <n v="506.068750000004"/>
  </r>
  <r>
    <x v="19"/>
    <s v="M20"/>
    <x v="19"/>
    <x v="12"/>
    <s v="kit"/>
    <s v="S18"/>
    <x v="15"/>
    <d v="2023-09-12T00:00:00"/>
    <d v="2023-09-14T00:00:00"/>
    <n v="83557.951000000001"/>
    <n v="6.45"/>
    <n v="6.5"/>
    <d v="2023-11-09T00:00:00"/>
    <x v="16"/>
    <n v="83557.951000000001"/>
    <s v="Standard"/>
    <n v="1"/>
    <n v="1"/>
    <n v="1"/>
    <x v="17"/>
    <x v="0"/>
    <n v="45170"/>
    <n v="538948.78395000007"/>
    <n v="543126.68149999995"/>
    <n v="-4177.8975499999851"/>
  </r>
  <r>
    <x v="20"/>
    <s v="M21"/>
    <x v="20"/>
    <x v="13"/>
    <s v="each"/>
    <s v="S19"/>
    <x v="16"/>
    <d v="2023-09-11T00:00:00"/>
    <d v="2023-09-14T00:00:00"/>
    <n v="29753426.625"/>
    <n v="1.18E-2"/>
    <n v="1.2E-2"/>
    <d v="2023-09-28T00:00:00"/>
    <x v="17"/>
    <n v="25873634.905000001"/>
    <s v="Standard"/>
    <n v="1"/>
    <n v="0"/>
    <n v="0"/>
    <x v="18"/>
    <x v="0"/>
    <n v="45170"/>
    <n v="305308.891879"/>
    <n v="310483.61886000005"/>
    <n v="-5174.7269810000134"/>
  </r>
  <r>
    <x v="21"/>
    <s v="M15"/>
    <x v="14"/>
    <x v="8"/>
    <s v="kit"/>
    <s v="S14"/>
    <x v="11"/>
    <d v="2023-09-26T00:00:00"/>
    <d v="2023-09-27T00:00:00"/>
    <n v="3"/>
    <n v="47075.71"/>
    <n v="48000"/>
    <d v="2024-01-31T00:00:00"/>
    <x v="18"/>
    <n v="3"/>
    <s v="Standard"/>
    <n v="1"/>
    <n v="1"/>
    <n v="1"/>
    <x v="19"/>
    <x v="0"/>
    <n v="45170"/>
    <n v="141227.13"/>
    <n v="144000"/>
    <n v="-2772.8700000000026"/>
  </r>
  <r>
    <x v="22"/>
    <s v="M20"/>
    <x v="19"/>
    <x v="12"/>
    <s v="kit"/>
    <s v="S18"/>
    <x v="15"/>
    <d v="2023-10-18T00:00:00"/>
    <d v="2023-10-20T00:00:00"/>
    <n v="66180.67"/>
    <n v="6.45"/>
    <n v="6.5"/>
    <d v="2023-12-15T00:00:00"/>
    <x v="19"/>
    <n v="66180.67"/>
    <s v="Standard"/>
    <n v="1"/>
    <n v="1"/>
    <n v="1"/>
    <x v="17"/>
    <x v="0"/>
    <n v="45200"/>
    <n v="426865.32150000002"/>
    <n v="430174.35499999998"/>
    <n v="-3309.0334999999882"/>
  </r>
  <r>
    <x v="23"/>
    <s v="M21"/>
    <x v="20"/>
    <x v="13"/>
    <s v="each"/>
    <s v="S19"/>
    <x v="16"/>
    <d v="2023-10-17T00:00:00"/>
    <d v="2023-10-19T00:00:00"/>
    <n v="26067154.412"/>
    <n v="1.1900000000000001E-2"/>
    <n v="1.2E-2"/>
    <d v="2023-11-02T00:00:00"/>
    <x v="12"/>
    <n v="26067154.412"/>
    <s v="Standard"/>
    <n v="1"/>
    <n v="1"/>
    <n v="1"/>
    <x v="20"/>
    <x v="0"/>
    <n v="45200"/>
    <n v="310199.13750280003"/>
    <n v="312805.85294399998"/>
    <n v="-2606.7154411999841"/>
  </r>
  <r>
    <x v="24"/>
    <s v="M01"/>
    <x v="0"/>
    <x v="0"/>
    <s v="wafer"/>
    <s v="S02"/>
    <x v="17"/>
    <d v="2023-10-24T00:00:00"/>
    <d v="2023-10-27T00:00:00"/>
    <n v="28730.491999999998"/>
    <n v="117.74"/>
    <n v="118"/>
    <d v="2023-12-08T00:00:00"/>
    <x v="20"/>
    <n v="28730.491999999998"/>
    <s v="Standard"/>
    <n v="1"/>
    <n v="1"/>
    <n v="1"/>
    <x v="0"/>
    <x v="0"/>
    <n v="45200"/>
    <n v="3382728.1280799997"/>
    <n v="3390198.0559999999"/>
    <n v="-7469.9279200001465"/>
  </r>
  <r>
    <x v="25"/>
    <s v="M02"/>
    <x v="1"/>
    <x v="1"/>
    <s v="liter"/>
    <s v="S03"/>
    <x v="1"/>
    <d v="2023-10-23T00:00:00"/>
    <d v="2023-10-25T00:00:00"/>
    <n v="1005.375"/>
    <n v="2371.5"/>
    <n v="2400"/>
    <d v="2024-01-03T00:00:00"/>
    <x v="21"/>
    <n v="1005.375"/>
    <s v="Standard"/>
    <n v="1"/>
    <n v="1"/>
    <n v="1"/>
    <x v="21"/>
    <x v="0"/>
    <n v="45200"/>
    <n v="2384246.8125"/>
    <n v="2412900"/>
    <n v="-28653.1875"/>
  </r>
  <r>
    <x v="26"/>
    <s v="M03"/>
    <x v="2"/>
    <x v="2"/>
    <s v="liter"/>
    <s v="S06"/>
    <x v="2"/>
    <d v="2023-10-23T00:00:00"/>
    <d v="2023-10-29T00:00:00"/>
    <n v="51708.953999999998"/>
    <n v="9.4"/>
    <n v="9.5"/>
    <d v="2023-11-19T00:00:00"/>
    <x v="22"/>
    <n v="51708.953999999998"/>
    <s v="Standard"/>
    <n v="1"/>
    <n v="1"/>
    <n v="1"/>
    <x v="22"/>
    <x v="0"/>
    <n v="45200"/>
    <n v="486064.16759999999"/>
    <n v="491235.06299999997"/>
    <n v="-5170.8953999999812"/>
  </r>
  <r>
    <x v="27"/>
    <s v="M04"/>
    <x v="3"/>
    <x v="3"/>
    <s v="cylinder"/>
    <s v="S05"/>
    <x v="3"/>
    <d v="2023-10-23T00:00:00"/>
    <d v="2023-10-26T00:00:00"/>
    <n v="172.35"/>
    <n v="1850.71"/>
    <n v="1850"/>
    <d v="2023-12-21T00:00:00"/>
    <x v="23"/>
    <n v="172.35"/>
    <s v="Standard"/>
    <n v="1"/>
    <n v="1"/>
    <n v="1"/>
    <x v="23"/>
    <x v="0"/>
    <n v="45200"/>
    <n v="318969.86849999998"/>
    <n v="318847.5"/>
    <n v="122.36850000000626"/>
  </r>
  <r>
    <x v="28"/>
    <s v="M05"/>
    <x v="4"/>
    <x v="3"/>
    <s v="kg"/>
    <s v="S07"/>
    <x v="4"/>
    <d v="2023-10-25T00:00:00"/>
    <d v="2023-10-29T00:00:00"/>
    <n v="25924.962"/>
    <n v="28.05"/>
    <n v="28"/>
    <d v="2023-12-10T00:00:00"/>
    <x v="24"/>
    <n v="25924.962"/>
    <s v="Standard"/>
    <n v="1"/>
    <n v="1"/>
    <n v="1"/>
    <x v="5"/>
    <x v="0"/>
    <n v="45200"/>
    <n v="727195.18409999995"/>
    <n v="725898.93599999999"/>
    <n v="1296.2481000000184"/>
  </r>
  <r>
    <x v="29"/>
    <s v="M06"/>
    <x v="5"/>
    <x v="3"/>
    <s v="kg"/>
    <s v="S07"/>
    <x v="4"/>
    <d v="2023-10-24T00:00:00"/>
    <d v="2023-10-27T00:00:00"/>
    <n v="2299.63"/>
    <n v="401.11"/>
    <n v="410"/>
    <d v="2023-12-08T00:00:00"/>
    <x v="25"/>
    <n v="2299.63"/>
    <s v="Standard"/>
    <n v="1"/>
    <n v="1"/>
    <n v="1"/>
    <x v="4"/>
    <x v="0"/>
    <n v="45200"/>
    <n v="922404.58930000011"/>
    <n v="942848.3"/>
    <n v="-20443.710699999971"/>
  </r>
  <r>
    <x v="30"/>
    <s v="M07"/>
    <x v="6"/>
    <x v="3"/>
    <s v="kg"/>
    <s v="S08"/>
    <x v="5"/>
    <d v="2023-10-25T00:00:00"/>
    <d v="2023-10-26T00:00:00"/>
    <n v="3447.0520000000001"/>
    <n v="162.27000000000001"/>
    <n v="160"/>
    <d v="2023-11-23T00:00:00"/>
    <x v="26"/>
    <n v="3447.0520000000001"/>
    <s v="Standard"/>
    <n v="1"/>
    <n v="1"/>
    <n v="1"/>
    <x v="6"/>
    <x v="0"/>
    <n v="45200"/>
    <n v="559353.1280400001"/>
    <n v="551528.32000000007"/>
    <n v="7824.8080400000354"/>
  </r>
  <r>
    <x v="31"/>
    <s v="M08"/>
    <x v="7"/>
    <x v="2"/>
    <s v="liter"/>
    <s v="S09"/>
    <x v="6"/>
    <d v="2023-10-23T00:00:00"/>
    <d v="2023-10-26T00:00:00"/>
    <n v="172381.008"/>
    <n v="4.24"/>
    <n v="4.2"/>
    <d v="2023-11-16T00:00:00"/>
    <x v="27"/>
    <n v="172381.008"/>
    <s v="Standard"/>
    <n v="1"/>
    <n v="1"/>
    <n v="1"/>
    <x v="22"/>
    <x v="0"/>
    <n v="45200"/>
    <n v="730895.47392000002"/>
    <n v="724000.23360000004"/>
    <n v="6895.2403200000062"/>
  </r>
  <r>
    <x v="32"/>
    <s v="M09"/>
    <x v="8"/>
    <x v="2"/>
    <s v="liter"/>
    <s v="S09"/>
    <x v="6"/>
    <d v="2023-10-23T00:00:00"/>
    <d v="2023-10-25T00:00:00"/>
    <n v="71929.342000000004"/>
    <n v="6.91"/>
    <n v="6.8"/>
    <d v="2023-11-15T00:00:00"/>
    <x v="26"/>
    <n v="71929.342000000004"/>
    <s v="Standard"/>
    <n v="0"/>
    <n v="1"/>
    <n v="0"/>
    <x v="24"/>
    <x v="0"/>
    <n v="45200"/>
    <n v="497031.75322000001"/>
    <n v="489119.52559999999"/>
    <n v="7912.2276200000233"/>
  </r>
  <r>
    <x v="33"/>
    <s v="M10"/>
    <x v="9"/>
    <x v="4"/>
    <s v="liter"/>
    <s v="S10"/>
    <x v="7"/>
    <d v="2023-10-25T00:00:00"/>
    <d v="2023-10-28T00:00:00"/>
    <n v="17240.733"/>
    <n v="38.14"/>
    <n v="38"/>
    <d v="2023-12-02T00:00:00"/>
    <x v="28"/>
    <n v="17240.733"/>
    <s v="Standard"/>
    <n v="1"/>
    <n v="1"/>
    <n v="1"/>
    <x v="9"/>
    <x v="0"/>
    <n v="45200"/>
    <n v="657561.55662000005"/>
    <n v="655147.85400000005"/>
    <n v="2413.70262000001"/>
  </r>
  <r>
    <x v="34"/>
    <s v="M11"/>
    <x v="10"/>
    <x v="4"/>
    <s v="each"/>
    <s v="S10"/>
    <x v="7"/>
    <d v="2023-10-24T00:00:00"/>
    <d v="2023-10-27T00:00:00"/>
    <n v="345.113"/>
    <n v="509.75"/>
    <n v="520"/>
    <d v="2023-12-01T00:00:00"/>
    <x v="29"/>
    <n v="345.113"/>
    <s v="Standard"/>
    <n v="1"/>
    <n v="1"/>
    <n v="1"/>
    <x v="15"/>
    <x v="0"/>
    <n v="45200"/>
    <n v="175921.35175"/>
    <n v="179458.76"/>
    <n v="-3537.40825"/>
  </r>
  <r>
    <x v="35"/>
    <s v="M12"/>
    <x v="11"/>
    <x v="5"/>
    <s v="each"/>
    <s v="S11"/>
    <x v="8"/>
    <d v="2023-10-23T00:00:00"/>
    <d v="2023-10-27T00:00:00"/>
    <n v="17.234999999999999"/>
    <n v="9400.51"/>
    <n v="9500"/>
    <d v="2023-12-29T00:00:00"/>
    <x v="30"/>
    <n v="17.234999999999999"/>
    <s v="Standard"/>
    <n v="1"/>
    <n v="1"/>
    <n v="1"/>
    <x v="11"/>
    <x v="0"/>
    <n v="45200"/>
    <n v="162017.78985"/>
    <n v="163732.5"/>
    <n v="-1714.7101499999962"/>
  </r>
  <r>
    <x v="36"/>
    <s v="M13"/>
    <x v="12"/>
    <x v="6"/>
    <s v="kg"/>
    <s v="S12"/>
    <x v="9"/>
    <d v="2023-10-25T00:00:00"/>
    <d v="2023-10-26T00:00:00"/>
    <n v="114.9"/>
    <n v="3881.65"/>
    <n v="3900"/>
    <d v="2024-01-04T00:00:00"/>
    <x v="21"/>
    <n v="114.9"/>
    <s v="Standard"/>
    <n v="1"/>
    <n v="1"/>
    <n v="1"/>
    <x v="1"/>
    <x v="0"/>
    <n v="45200"/>
    <n v="446001.58500000002"/>
    <n v="448110"/>
    <n v="-2108.4149999999895"/>
  </r>
  <r>
    <x v="37"/>
    <s v="M14"/>
    <x v="13"/>
    <x v="7"/>
    <s v="kit"/>
    <s v="S13"/>
    <x v="10"/>
    <d v="2023-10-25T00:00:00"/>
    <d v="2023-10-30T00:00:00"/>
    <n v="22.98"/>
    <n v="6189.9"/>
    <n v="6200"/>
    <d v="2023-12-18T00:00:00"/>
    <x v="31"/>
    <n v="22.98"/>
    <s v="Standard"/>
    <n v="0"/>
    <n v="1"/>
    <n v="0"/>
    <x v="25"/>
    <x v="0"/>
    <n v="45200"/>
    <n v="142243.902"/>
    <n v="142476"/>
    <n v="-232.09800000000837"/>
  </r>
  <r>
    <x v="38"/>
    <s v="M15"/>
    <x v="14"/>
    <x v="8"/>
    <s v="kit"/>
    <s v="S14"/>
    <x v="11"/>
    <d v="2023-10-25T00:00:00"/>
    <d v="2023-10-28T00:00:00"/>
    <n v="3"/>
    <n v="47801.06"/>
    <n v="48000"/>
    <d v="2024-03-02T00:00:00"/>
    <x v="32"/>
    <n v="3"/>
    <s v="Standard"/>
    <n v="1"/>
    <n v="1"/>
    <n v="1"/>
    <x v="14"/>
    <x v="0"/>
    <n v="45200"/>
    <n v="143403.18"/>
    <n v="144000"/>
    <n v="-596.82000000000698"/>
  </r>
  <r>
    <x v="39"/>
    <s v="M16"/>
    <x v="15"/>
    <x v="9"/>
    <s v="each"/>
    <s v="S15"/>
    <x v="12"/>
    <d v="2023-10-25T00:00:00"/>
    <d v="2023-10-27T00:00:00"/>
    <n v="26362713.237"/>
    <n v="0.1072"/>
    <n v="0.11"/>
    <d v="2024-01-05T00:00:00"/>
    <x v="13"/>
    <n v="26362713.237"/>
    <s v="Standard"/>
    <n v="0"/>
    <n v="1"/>
    <n v="0"/>
    <x v="26"/>
    <x v="0"/>
    <n v="45200"/>
    <n v="2826082.8590064002"/>
    <n v="2899898.4560699998"/>
    <n v="-73815.597063599926"/>
  </r>
  <r>
    <x v="40"/>
    <s v="M17"/>
    <x v="16"/>
    <x v="10"/>
    <s v="meter"/>
    <s v="S16"/>
    <x v="13"/>
    <d v="2023-10-23T00:00:00"/>
    <d v="2023-10-24T00:00:00"/>
    <n v="15854472.612"/>
    <n v="4.0000000000000001E-3"/>
    <n v="4.0000000000000001E-3"/>
    <d v="2023-11-28T00:00:00"/>
    <x v="20"/>
    <n v="15854472.612"/>
    <s v="Standard"/>
    <n v="0"/>
    <n v="1"/>
    <n v="0"/>
    <x v="27"/>
    <x v="0"/>
    <n v="45200"/>
    <n v="63417.890447999998"/>
    <n v="63417.890447999998"/>
    <n v="0"/>
  </r>
  <r>
    <x v="41"/>
    <s v="M18"/>
    <x v="17"/>
    <x v="10"/>
    <s v="gram"/>
    <s v="S16"/>
    <x v="13"/>
    <d v="2023-10-25T00:00:00"/>
    <d v="2023-10-28T00:00:00"/>
    <n v="9258227.3330000006"/>
    <n v="1.9900000000000001E-2"/>
    <n v="0.02"/>
    <d v="2023-12-02T00:00:00"/>
    <x v="33"/>
    <n v="9258227.3330000006"/>
    <s v="Standard"/>
    <n v="1"/>
    <n v="1"/>
    <n v="1"/>
    <x v="28"/>
    <x v="0"/>
    <n v="45200"/>
    <n v="184238.72392670001"/>
    <n v="185164.54666000002"/>
    <n v="-925.82273329999441"/>
  </r>
  <r>
    <x v="42"/>
    <s v="M15"/>
    <x v="14"/>
    <x v="8"/>
    <s v="kit"/>
    <s v="S14"/>
    <x v="11"/>
    <d v="2023-11-21T00:00:00"/>
    <d v="2023-11-24T00:00:00"/>
    <n v="4"/>
    <n v="48077.599999999999"/>
    <n v="48000"/>
    <d v="2024-03-29T00:00:00"/>
    <x v="34"/>
    <n v="4"/>
    <s v="Standard"/>
    <n v="1"/>
    <n v="1"/>
    <n v="1"/>
    <x v="14"/>
    <x v="0"/>
    <n v="45231"/>
    <n v="192310.39999999999"/>
    <n v="192000"/>
    <n v="310.39999999999418"/>
  </r>
  <r>
    <x v="43"/>
    <s v="M20"/>
    <x v="19"/>
    <x v="12"/>
    <s v="kit"/>
    <s v="S18"/>
    <x v="15"/>
    <d v="2023-11-21T00:00:00"/>
    <d v="2023-11-26T00:00:00"/>
    <n v="68554.228000000003"/>
    <n v="6.38"/>
    <n v="6.5"/>
    <d v="2024-01-21T00:00:00"/>
    <x v="35"/>
    <n v="68554.228000000003"/>
    <s v="Standard"/>
    <n v="1"/>
    <n v="1"/>
    <n v="1"/>
    <x v="29"/>
    <x v="0"/>
    <n v="45231"/>
    <n v="437375.97464000003"/>
    <n v="445602.48200000002"/>
    <n v="-8226.5073600000069"/>
  </r>
  <r>
    <x v="44"/>
    <s v="M02"/>
    <x v="1"/>
    <x v="1"/>
    <s v="liter"/>
    <s v="S03"/>
    <x v="1"/>
    <d v="2023-11-28T00:00:00"/>
    <d v="2023-12-01T00:00:00"/>
    <n v="840.255"/>
    <n v="2404.9"/>
    <n v="2400"/>
    <d v="2024-02-09T00:00:00"/>
    <x v="36"/>
    <n v="840.255"/>
    <s v="Standard"/>
    <n v="1"/>
    <n v="1"/>
    <n v="1"/>
    <x v="16"/>
    <x v="0"/>
    <n v="45261"/>
    <n v="2020729.2495000002"/>
    <n v="2016612"/>
    <n v="4117.2495000000763"/>
  </r>
  <r>
    <x v="45"/>
    <s v="M04"/>
    <x v="3"/>
    <x v="3"/>
    <s v="cylinder"/>
    <s v="S05"/>
    <x v="3"/>
    <d v="2023-11-28T00:00:00"/>
    <d v="2023-11-29T00:00:00"/>
    <n v="146.50700000000001"/>
    <n v="1816.18"/>
    <n v="1850"/>
    <d v="2024-01-24T00:00:00"/>
    <x v="37"/>
    <n v="146.50700000000001"/>
    <s v="Standard"/>
    <n v="0"/>
    <n v="1"/>
    <n v="0"/>
    <x v="30"/>
    <x v="0"/>
    <n v="45231"/>
    <n v="266083.08326000004"/>
    <n v="271037.95"/>
    <n v="-4954.8667399999913"/>
  </r>
  <r>
    <x v="46"/>
    <s v="M09"/>
    <x v="8"/>
    <x v="2"/>
    <s v="liter"/>
    <s v="S09"/>
    <x v="6"/>
    <d v="2023-11-28T00:00:00"/>
    <d v="2023-11-29T00:00:00"/>
    <n v="60063.392"/>
    <n v="6.93"/>
    <n v="6.8"/>
    <d v="2023-12-20T00:00:00"/>
    <x v="38"/>
    <n v="60063.392"/>
    <s v="Standard"/>
    <n v="0"/>
    <n v="1"/>
    <n v="0"/>
    <x v="27"/>
    <x v="0"/>
    <n v="45231"/>
    <n v="416239.30656"/>
    <n v="408431.06559999997"/>
    <n v="7808.2409599999937"/>
  </r>
  <r>
    <x v="47"/>
    <s v="M13"/>
    <x v="12"/>
    <x v="6"/>
    <s v="kg"/>
    <s v="S12"/>
    <x v="9"/>
    <d v="2023-11-27T00:00:00"/>
    <d v="2023-11-29T00:00:00"/>
    <n v="96.290999999999997"/>
    <n v="3855.77"/>
    <n v="3900"/>
    <d v="2024-02-07T00:00:00"/>
    <x v="39"/>
    <n v="75.364999999999995"/>
    <s v="Standard"/>
    <n v="1"/>
    <n v="0"/>
    <n v="0"/>
    <x v="31"/>
    <x v="0"/>
    <n v="45231"/>
    <n v="290590.10605"/>
    <n v="293923.5"/>
    <n v="-3333.393950000001"/>
  </r>
  <r>
    <x v="48"/>
    <s v="M16"/>
    <x v="15"/>
    <x v="9"/>
    <s v="each"/>
    <s v="S15"/>
    <x v="12"/>
    <d v="2023-11-27T00:00:00"/>
    <d v="2023-11-30T00:00:00"/>
    <n v="22983867.686999999"/>
    <n v="0.1084"/>
    <n v="0.11"/>
    <d v="2024-02-08T00:00:00"/>
    <x v="40"/>
    <n v="22983867.686999999"/>
    <s v="Standard"/>
    <n v="0"/>
    <n v="1"/>
    <n v="0"/>
    <x v="32"/>
    <x v="0"/>
    <n v="45231"/>
    <n v="2491451.2572707999"/>
    <n v="2528225.44557"/>
    <n v="-36774.188299200097"/>
  </r>
  <r>
    <x v="49"/>
    <s v="M17"/>
    <x v="16"/>
    <x v="10"/>
    <s v="meter"/>
    <s v="S16"/>
    <x v="13"/>
    <d v="2023-11-28T00:00:00"/>
    <d v="2023-12-02T00:00:00"/>
    <n v="13730058.976"/>
    <n v="4.0000000000000001E-3"/>
    <n v="4.0000000000000001E-3"/>
    <d v="2024-01-06T00:00:00"/>
    <x v="41"/>
    <n v="13730058.976"/>
    <s v="Standard"/>
    <n v="1"/>
    <n v="1"/>
    <n v="1"/>
    <x v="28"/>
    <x v="0"/>
    <n v="45261"/>
    <n v="54920.235904000001"/>
    <n v="54920.235904000001"/>
    <n v="0"/>
  </r>
  <r>
    <x v="50"/>
    <s v="M18"/>
    <x v="17"/>
    <x v="10"/>
    <s v="gram"/>
    <s v="S16"/>
    <x v="13"/>
    <d v="2023-11-27T00:00:00"/>
    <d v="2023-12-02T00:00:00"/>
    <n v="8022060.7589999996"/>
    <n v="1.95E-2"/>
    <n v="0.02"/>
    <d v="2024-01-06T00:00:00"/>
    <x v="41"/>
    <n v="8022060.7589999996"/>
    <s v="Standard"/>
    <n v="1"/>
    <n v="1"/>
    <n v="1"/>
    <x v="28"/>
    <x v="0"/>
    <n v="45261"/>
    <n v="156430.18480049999"/>
    <n v="160441.21518"/>
    <n v="-4011.0303795000032"/>
  </r>
  <r>
    <x v="51"/>
    <s v="M21"/>
    <x v="20"/>
    <x v="13"/>
    <s v="each"/>
    <s v="S19"/>
    <x v="16"/>
    <d v="2023-11-29T00:00:00"/>
    <d v="2023-12-01T00:00:00"/>
    <n v="27207999.684"/>
    <n v="1.2E-2"/>
    <n v="1.2E-2"/>
    <d v="2023-12-15T00:00:00"/>
    <x v="42"/>
    <n v="27207999.684"/>
    <s v="Standard"/>
    <n v="1"/>
    <n v="1"/>
    <n v="1"/>
    <x v="18"/>
    <x v="0"/>
    <n v="45261"/>
    <n v="326495.996208"/>
    <n v="326495.996208"/>
    <n v="0"/>
  </r>
  <r>
    <x v="52"/>
    <s v="M01"/>
    <x v="0"/>
    <x v="0"/>
    <s v="wafer"/>
    <s v="S01"/>
    <x v="0"/>
    <d v="2023-12-05T00:00:00"/>
    <d v="2023-12-11T00:00:00"/>
    <n v="28777.703000000001"/>
    <n v="115.75"/>
    <n v="118"/>
    <d v="2024-01-22T00:00:00"/>
    <x v="43"/>
    <n v="28777.703000000001"/>
    <s v="Standard"/>
    <n v="1"/>
    <n v="1"/>
    <n v="1"/>
    <x v="5"/>
    <x v="0"/>
    <n v="45261"/>
    <n v="3331019.12225"/>
    <n v="3395768.9540000004"/>
    <n v="-64749.831750000005"/>
  </r>
  <r>
    <x v="53"/>
    <s v="M03"/>
    <x v="2"/>
    <x v="2"/>
    <s v="liter"/>
    <s v="S06"/>
    <x v="2"/>
    <d v="2023-12-05T00:00:00"/>
    <d v="2023-12-08T00:00:00"/>
    <n v="51758.173000000003"/>
    <n v="9.34"/>
    <n v="9.5"/>
    <d v="2023-12-29T00:00:00"/>
    <x v="44"/>
    <n v="39545.379000000001"/>
    <s v="Standard"/>
    <n v="0"/>
    <n v="0"/>
    <n v="0"/>
    <x v="33"/>
    <x v="0"/>
    <n v="45261"/>
    <n v="369353.83986000001"/>
    <n v="375681.1005"/>
    <n v="-6327.2606400000059"/>
  </r>
  <r>
    <x v="54"/>
    <s v="M05"/>
    <x v="4"/>
    <x v="3"/>
    <s v="kg"/>
    <s v="S07"/>
    <x v="4"/>
    <d v="2023-12-05T00:00:00"/>
    <d v="2023-12-08T00:00:00"/>
    <n v="25910.181"/>
    <n v="28.34"/>
    <n v="28"/>
    <d v="2024-01-19T00:00:00"/>
    <x v="45"/>
    <n v="25910.181"/>
    <s v="Standard"/>
    <n v="1"/>
    <n v="1"/>
    <n v="1"/>
    <x v="4"/>
    <x v="0"/>
    <n v="45261"/>
    <n v="734294.52954000002"/>
    <n v="725485.06799999997"/>
    <n v="8809.4615399999966"/>
  </r>
  <r>
    <x v="55"/>
    <s v="M06"/>
    <x v="5"/>
    <x v="3"/>
    <s v="kg"/>
    <s v="S07"/>
    <x v="4"/>
    <d v="2023-12-05T00:00:00"/>
    <d v="2023-12-09T00:00:00"/>
    <n v="2304.2539999999999"/>
    <n v="407.15"/>
    <n v="410"/>
    <d v="2024-01-20T00:00:00"/>
    <x v="45"/>
    <n v="2304.2539999999999"/>
    <s v="Standard"/>
    <n v="1"/>
    <n v="1"/>
    <n v="1"/>
    <x v="5"/>
    <x v="0"/>
    <n v="45261"/>
    <n v="938177.01609999989"/>
    <n v="944744.14"/>
    <n v="-6567.1239000000523"/>
  </r>
  <r>
    <x v="56"/>
    <s v="M07"/>
    <x v="6"/>
    <x v="3"/>
    <s v="kg"/>
    <s v="S08"/>
    <x v="5"/>
    <d v="2023-12-06T00:00:00"/>
    <d v="2023-12-08T00:00:00"/>
    <n v="3451.1610000000001"/>
    <n v="157.96"/>
    <n v="160"/>
    <d v="2024-01-05T00:00:00"/>
    <x v="46"/>
    <n v="3451.1610000000001"/>
    <s v="Standard"/>
    <n v="1"/>
    <n v="1"/>
    <n v="1"/>
    <x v="34"/>
    <x v="0"/>
    <n v="45261"/>
    <n v="545145.39156000002"/>
    <n v="552185.76"/>
    <n v="-7040.3684399999729"/>
  </r>
  <r>
    <x v="57"/>
    <s v="M08"/>
    <x v="7"/>
    <x v="2"/>
    <s v="liter"/>
    <s v="S06"/>
    <x v="2"/>
    <d v="2023-12-05T00:00:00"/>
    <d v="2023-12-06T00:00:00"/>
    <n v="172506.359"/>
    <n v="4.2"/>
    <n v="4.2"/>
    <d v="2023-12-27T00:00:00"/>
    <x v="47"/>
    <n v="172506.359"/>
    <s v="Standard"/>
    <n v="1"/>
    <n v="1"/>
    <n v="1"/>
    <x v="8"/>
    <x v="0"/>
    <n v="45261"/>
    <n v="724526.70779999997"/>
    <n v="724526.70779999997"/>
    <n v="0"/>
  </r>
  <r>
    <x v="58"/>
    <s v="M10"/>
    <x v="9"/>
    <x v="4"/>
    <s v="liter"/>
    <s v="S10"/>
    <x v="7"/>
    <d v="2023-12-06T00:00:00"/>
    <d v="2023-12-07T00:00:00"/>
    <n v="17264.996999999999"/>
    <n v="38.79"/>
    <n v="38"/>
    <d v="2024-01-11T00:00:00"/>
    <x v="48"/>
    <n v="17264.996999999999"/>
    <s v="Standard"/>
    <n v="1"/>
    <n v="1"/>
    <n v="1"/>
    <x v="28"/>
    <x v="0"/>
    <n v="45261"/>
    <n v="669709.23362999992"/>
    <n v="656069.88599999994"/>
    <n v="13639.347629999986"/>
  </r>
  <r>
    <x v="59"/>
    <s v="M11"/>
    <x v="10"/>
    <x v="4"/>
    <s v="each"/>
    <s v="S10"/>
    <x v="7"/>
    <d v="2023-12-06T00:00:00"/>
    <d v="2023-12-10T00:00:00"/>
    <n v="345.20800000000003"/>
    <n v="518.23"/>
    <n v="520"/>
    <d v="2024-01-14T00:00:00"/>
    <x v="49"/>
    <n v="345.20800000000003"/>
    <s v="Standard"/>
    <n v="1"/>
    <n v="1"/>
    <n v="1"/>
    <x v="28"/>
    <x v="0"/>
    <n v="45261"/>
    <n v="178897.14184000003"/>
    <n v="179508.16"/>
    <n v="-611.01815999999371"/>
  </r>
  <r>
    <x v="60"/>
    <s v="M12"/>
    <x v="11"/>
    <x v="5"/>
    <s v="each"/>
    <s v="S11"/>
    <x v="8"/>
    <d v="2023-12-04T00:00:00"/>
    <d v="2023-12-07T00:00:00"/>
    <n v="17.25"/>
    <n v="9557.48"/>
    <n v="9500"/>
    <d v="2024-02-08T00:00:00"/>
    <x v="50"/>
    <n v="17.25"/>
    <s v="Standard"/>
    <n v="1"/>
    <n v="1"/>
    <n v="1"/>
    <x v="35"/>
    <x v="0"/>
    <n v="45261"/>
    <n v="164866.53"/>
    <n v="163875"/>
    <n v="991.52999999999247"/>
  </r>
  <r>
    <x v="61"/>
    <s v="M14"/>
    <x v="13"/>
    <x v="7"/>
    <s v="kit"/>
    <s v="S13"/>
    <x v="10"/>
    <d v="2023-12-05T00:00:00"/>
    <d v="2023-12-08T00:00:00"/>
    <n v="23"/>
    <n v="6193.59"/>
    <n v="6200"/>
    <d v="2024-01-26T00:00:00"/>
    <x v="51"/>
    <n v="23"/>
    <s v="Standard"/>
    <n v="1"/>
    <n v="1"/>
    <n v="1"/>
    <x v="36"/>
    <x v="0"/>
    <n v="45261"/>
    <n v="142452.57"/>
    <n v="142600"/>
    <n v="-147.42999999999665"/>
  </r>
  <r>
    <x v="62"/>
    <s v="M03"/>
    <x v="2"/>
    <x v="2"/>
    <s v="liter"/>
    <s v="S06"/>
    <x v="2"/>
    <d v="2024-01-02T00:00:00"/>
    <d v="2024-01-05T00:00:00"/>
    <n v="46729.864999999998"/>
    <n v="9.4"/>
    <n v="9.5"/>
    <d v="2024-01-26T00:00:00"/>
    <x v="52"/>
    <n v="46729.864999999998"/>
    <s v="Standard"/>
    <n v="1"/>
    <n v="1"/>
    <n v="1"/>
    <x v="2"/>
    <x v="1"/>
    <n v="45292"/>
    <n v="439260.73099999997"/>
    <n v="443933.71749999997"/>
    <n v="-4672.9864999999836"/>
  </r>
  <r>
    <x v="63"/>
    <s v="M04"/>
    <x v="3"/>
    <x v="3"/>
    <s v="cylinder"/>
    <s v="S05"/>
    <x v="3"/>
    <d v="2024-01-02T00:00:00"/>
    <d v="2024-01-04T00:00:00"/>
    <n v="144.12299999999999"/>
    <n v="1839.48"/>
    <n v="1850"/>
    <d v="2024-02-29T00:00:00"/>
    <x v="53"/>
    <n v="144.12299999999999"/>
    <s v="Standard"/>
    <n v="0"/>
    <n v="1"/>
    <n v="0"/>
    <x v="37"/>
    <x v="1"/>
    <n v="45292"/>
    <n v="265111.37604"/>
    <n v="266627.55"/>
    <n v="-1516.1739599999974"/>
  </r>
  <r>
    <x v="64"/>
    <s v="M16"/>
    <x v="15"/>
    <x v="9"/>
    <s v="each"/>
    <s v="S15"/>
    <x v="12"/>
    <d v="2024-01-03T00:00:00"/>
    <d v="2024-01-08T00:00:00"/>
    <n v="22809894.629000001"/>
    <n v="0.1084"/>
    <n v="0.11"/>
    <d v="2024-03-18T00:00:00"/>
    <x v="54"/>
    <n v="22809894.629000001"/>
    <s v="Standard"/>
    <n v="1"/>
    <n v="1"/>
    <n v="1"/>
    <x v="21"/>
    <x v="1"/>
    <n v="45292"/>
    <n v="2472592.5777836"/>
    <n v="2509088.40919"/>
    <n v="-36495.831406400095"/>
  </r>
  <r>
    <x v="65"/>
    <s v="M17"/>
    <x v="16"/>
    <x v="10"/>
    <s v="meter"/>
    <s v="S16"/>
    <x v="13"/>
    <d v="2024-01-01T00:00:00"/>
    <d v="2024-01-03T00:00:00"/>
    <n v="13693954.775"/>
    <n v="3.8999999999999998E-3"/>
    <n v="4.0000000000000001E-3"/>
    <d v="2024-02-07T00:00:00"/>
    <x v="55"/>
    <n v="13693954.775"/>
    <s v="Standard"/>
    <n v="1"/>
    <n v="1"/>
    <n v="1"/>
    <x v="28"/>
    <x v="1"/>
    <n v="45292"/>
    <n v="53406.423622499999"/>
    <n v="54775.819100000001"/>
    <n v="-1369.3954775000036"/>
  </r>
  <r>
    <x v="66"/>
    <s v="M18"/>
    <x v="17"/>
    <x v="10"/>
    <s v="gram"/>
    <s v="S16"/>
    <x v="13"/>
    <d v="2024-01-03T00:00:00"/>
    <d v="2024-01-09T00:00:00"/>
    <n v="7991377.2300000004"/>
    <n v="1.9900000000000001E-2"/>
    <n v="0.02"/>
    <d v="2024-02-13T00:00:00"/>
    <x v="56"/>
    <n v="7991377.2300000004"/>
    <s v="Standard"/>
    <n v="1"/>
    <n v="1"/>
    <n v="1"/>
    <x v="28"/>
    <x v="1"/>
    <n v="45292"/>
    <n v="159028.40687700003"/>
    <n v="159827.54460000002"/>
    <n v="-799.13772299999516"/>
  </r>
  <r>
    <x v="67"/>
    <s v="M19"/>
    <x v="18"/>
    <x v="11"/>
    <s v="each"/>
    <s v="S17"/>
    <x v="14"/>
    <d v="2024-01-03T00:00:00"/>
    <d v="2024-01-05T00:00:00"/>
    <n v="2"/>
    <n v="63554.02"/>
    <n v="65000"/>
    <d v="2024-03-15T00:00:00"/>
    <x v="57"/>
    <n v="2"/>
    <s v="Standard"/>
    <n v="1"/>
    <n v="1"/>
    <n v="1"/>
    <x v="21"/>
    <x v="1"/>
    <n v="45292"/>
    <n v="127108.04"/>
    <n v="130000"/>
    <n v="-2891.9600000000064"/>
  </r>
  <r>
    <x v="68"/>
    <s v="M20"/>
    <x v="19"/>
    <x v="12"/>
    <s v="kit"/>
    <s v="S18"/>
    <x v="15"/>
    <d v="2024-01-02T00:00:00"/>
    <d v="2024-01-05T00:00:00"/>
    <n v="75713.081999999995"/>
    <n v="6.31"/>
    <n v="6.5"/>
    <d v="2024-03-01T00:00:00"/>
    <x v="32"/>
    <n v="75713.081999999995"/>
    <s v="Standard"/>
    <n v="1"/>
    <n v="1"/>
    <n v="1"/>
    <x v="38"/>
    <x v="1"/>
    <n v="45292"/>
    <n v="477749.54741999996"/>
    <n v="492135.03299999994"/>
    <n v="-14385.485580000028"/>
  </r>
  <r>
    <x v="69"/>
    <s v="M21"/>
    <x v="20"/>
    <x v="13"/>
    <s v="each"/>
    <s v="S19"/>
    <x v="16"/>
    <d v="2024-01-03T00:00:00"/>
    <d v="2024-01-05T00:00:00"/>
    <n v="22890591.607999999"/>
    <n v="1.1900000000000001E-2"/>
    <n v="1.2E-2"/>
    <d v="2024-01-19T00:00:00"/>
    <x v="45"/>
    <n v="22890591.607999999"/>
    <s v="Standard"/>
    <n v="1"/>
    <n v="1"/>
    <n v="1"/>
    <x v="20"/>
    <x v="1"/>
    <n v="45292"/>
    <n v="272398.04013520002"/>
    <n v="274687.09929599997"/>
    <n v="-2289.0591607999859"/>
  </r>
  <r>
    <x v="70"/>
    <s v="M02"/>
    <x v="1"/>
    <x v="1"/>
    <s v="liter"/>
    <s v="S03"/>
    <x v="1"/>
    <d v="2024-01-10T00:00:00"/>
    <d v="2024-01-13T00:00:00"/>
    <n v="1007.261"/>
    <n v="2423.88"/>
    <n v="2400"/>
    <d v="2024-03-23T00:00:00"/>
    <x v="58"/>
    <n v="1007.261"/>
    <s v="Standard"/>
    <n v="1"/>
    <n v="1"/>
    <n v="1"/>
    <x v="1"/>
    <x v="1"/>
    <n v="45292"/>
    <n v="2441479.79268"/>
    <n v="2417426.4"/>
    <n v="24053.39268000011"/>
  </r>
  <r>
    <x v="71"/>
    <s v="M09"/>
    <x v="8"/>
    <x v="2"/>
    <s v="liter"/>
    <s v="S09"/>
    <x v="6"/>
    <d v="2024-01-08T00:00:00"/>
    <d v="2024-01-10T00:00:00"/>
    <n v="71914.823000000004"/>
    <n v="6.62"/>
    <n v="6.8"/>
    <d v="2024-01-31T00:00:00"/>
    <x v="18"/>
    <n v="71914.823000000004"/>
    <s v="Standard"/>
    <n v="1"/>
    <n v="1"/>
    <n v="1"/>
    <x v="7"/>
    <x v="1"/>
    <n v="45292"/>
    <n v="476076.12826000003"/>
    <n v="489020.79639999999"/>
    <n v="-12944.66813999998"/>
  </r>
  <r>
    <x v="72"/>
    <s v="M11"/>
    <x v="10"/>
    <x v="4"/>
    <s v="each"/>
    <s v="S10"/>
    <x v="7"/>
    <d v="2024-01-10T00:00:00"/>
    <d v="2024-01-14T00:00:00"/>
    <n v="288.07600000000002"/>
    <n v="518.86"/>
    <n v="520"/>
    <d v="2024-02-18T00:00:00"/>
    <x v="59"/>
    <n v="288.07600000000002"/>
    <s v="Standard"/>
    <n v="0"/>
    <n v="1"/>
    <n v="0"/>
    <x v="5"/>
    <x v="1"/>
    <n v="45292"/>
    <n v="149471.11336000002"/>
    <n v="149799.52000000002"/>
    <n v="-328.40663999999612"/>
  </r>
  <r>
    <x v="73"/>
    <s v="M13"/>
    <x v="12"/>
    <x v="6"/>
    <s v="kg"/>
    <s v="S12"/>
    <x v="9"/>
    <d v="2024-01-08T00:00:00"/>
    <d v="2024-01-11T00:00:00"/>
    <n v="115.042"/>
    <n v="3962.85"/>
    <n v="3900"/>
    <d v="2024-03-21T00:00:00"/>
    <x v="60"/>
    <n v="115.042"/>
    <s v="Standard"/>
    <n v="1"/>
    <n v="1"/>
    <n v="1"/>
    <x v="21"/>
    <x v="1"/>
    <n v="45292"/>
    <n v="455894.18969999999"/>
    <n v="448663.8"/>
    <n v="7230.3896999999897"/>
  </r>
  <r>
    <x v="74"/>
    <s v="M01"/>
    <x v="0"/>
    <x v="0"/>
    <s v="wafer"/>
    <s v="S01"/>
    <x v="0"/>
    <d v="2024-01-15T00:00:00"/>
    <d v="2024-01-17T00:00:00"/>
    <n v="28739.251"/>
    <n v="116.89"/>
    <n v="118"/>
    <d v="2024-02-28T00:00:00"/>
    <x v="61"/>
    <n v="28739.251"/>
    <s v="Standard"/>
    <n v="0"/>
    <n v="1"/>
    <n v="0"/>
    <x v="39"/>
    <x v="1"/>
    <n v="45292"/>
    <n v="3359331.0493899998"/>
    <n v="3391231.6180000002"/>
    <n v="-31900.568609999984"/>
  </r>
  <r>
    <x v="75"/>
    <s v="M05"/>
    <x v="4"/>
    <x v="3"/>
    <s v="kg"/>
    <s v="S07"/>
    <x v="4"/>
    <d v="2024-01-16T00:00:00"/>
    <d v="2024-01-21T00:00:00"/>
    <n v="25861.449000000001"/>
    <n v="27.35"/>
    <n v="28"/>
    <d v="2024-03-03T00:00:00"/>
    <x v="62"/>
    <n v="25861.449000000001"/>
    <s v="Standard"/>
    <n v="1"/>
    <n v="1"/>
    <n v="1"/>
    <x v="5"/>
    <x v="1"/>
    <n v="45292"/>
    <n v="707310.6301500001"/>
    <n v="724120.57200000004"/>
    <n v="-16809.941849999963"/>
  </r>
  <r>
    <x v="76"/>
    <s v="M06"/>
    <x v="5"/>
    <x v="3"/>
    <s v="kg"/>
    <s v="S07"/>
    <x v="4"/>
    <d v="2024-01-17T00:00:00"/>
    <d v="2024-01-18T00:00:00"/>
    <n v="2303.279"/>
    <n v="414.39"/>
    <n v="410"/>
    <d v="2024-02-29T00:00:00"/>
    <x v="63"/>
    <n v="2303.279"/>
    <s v="Standard"/>
    <n v="0"/>
    <n v="1"/>
    <n v="0"/>
    <x v="31"/>
    <x v="1"/>
    <n v="45292"/>
    <n v="954455.78480999998"/>
    <n v="944344.39"/>
    <n v="10111.394809999969"/>
  </r>
  <r>
    <x v="77"/>
    <s v="M07"/>
    <x v="6"/>
    <x v="3"/>
    <s v="kg"/>
    <s v="S08"/>
    <x v="5"/>
    <d v="2024-01-16T00:00:00"/>
    <d v="2024-01-18T00:00:00"/>
    <n v="3447.212"/>
    <n v="160.69999999999999"/>
    <n v="160"/>
    <d v="2024-02-15T00:00:00"/>
    <x v="56"/>
    <n v="3447.212"/>
    <s v="Standard"/>
    <n v="1"/>
    <n v="1"/>
    <n v="1"/>
    <x v="24"/>
    <x v="1"/>
    <n v="45292"/>
    <n v="553966.96840000001"/>
    <n v="551553.92000000004"/>
    <n v="2413.048399999961"/>
  </r>
  <r>
    <x v="78"/>
    <s v="M08"/>
    <x v="7"/>
    <x v="2"/>
    <s v="liter"/>
    <s v="S09"/>
    <x v="6"/>
    <d v="2024-01-16T00:00:00"/>
    <d v="2024-01-19T00:00:00"/>
    <n v="172425.16699999999"/>
    <n v="4.16"/>
    <n v="4.2"/>
    <d v="2024-02-09T00:00:00"/>
    <x v="64"/>
    <n v="172425.16699999999"/>
    <s v="Standard"/>
    <n v="1"/>
    <n v="1"/>
    <n v="1"/>
    <x v="2"/>
    <x v="1"/>
    <n v="45292"/>
    <n v="717288.69471999991"/>
    <n v="724185.70140000002"/>
    <n v="-6897.0066800000059"/>
  </r>
  <r>
    <x v="79"/>
    <s v="M10"/>
    <x v="9"/>
    <x v="4"/>
    <s v="liter"/>
    <s v="S10"/>
    <x v="7"/>
    <d v="2024-01-17T00:00:00"/>
    <d v="2024-01-21T00:00:00"/>
    <n v="17245.613000000001"/>
    <n v="37.25"/>
    <n v="38"/>
    <d v="2024-02-25T00:00:00"/>
    <x v="53"/>
    <n v="17245.613000000001"/>
    <s v="Standard"/>
    <n v="0"/>
    <n v="1"/>
    <n v="0"/>
    <x v="27"/>
    <x v="1"/>
    <n v="45292"/>
    <n v="642399.08425000007"/>
    <n v="655333.29399999999"/>
    <n v="-12934.209750000002"/>
  </r>
  <r>
    <x v="80"/>
    <s v="M12"/>
    <x v="11"/>
    <x v="5"/>
    <s v="each"/>
    <s v="S11"/>
    <x v="8"/>
    <d v="2024-01-15T00:00:00"/>
    <d v="2024-01-17T00:00:00"/>
    <n v="17.234999999999999"/>
    <n v="9681.5"/>
    <n v="9500"/>
    <d v="2024-03-20T00:00:00"/>
    <x v="65"/>
    <n v="17.234999999999999"/>
    <s v="Standard"/>
    <n v="1"/>
    <n v="1"/>
    <n v="1"/>
    <x v="11"/>
    <x v="1"/>
    <n v="45292"/>
    <n v="166860.6525"/>
    <n v="163732.5"/>
    <n v="3128.1524999999997"/>
  </r>
  <r>
    <x v="81"/>
    <s v="M14"/>
    <x v="13"/>
    <x v="7"/>
    <s v="kit"/>
    <s v="S13"/>
    <x v="10"/>
    <d v="2024-01-15T00:00:00"/>
    <d v="2024-01-17T00:00:00"/>
    <n v="21.18"/>
    <n v="6349.34"/>
    <n v="6200"/>
    <d v="2024-03-06T00:00:00"/>
    <x v="40"/>
    <n v="21.18"/>
    <s v="Standard"/>
    <n v="0"/>
    <n v="1"/>
    <n v="0"/>
    <x v="29"/>
    <x v="1"/>
    <n v="45292"/>
    <n v="134479.02119999999"/>
    <n v="131316"/>
    <n v="3163.0212000000029"/>
  </r>
  <r>
    <x v="82"/>
    <s v="M15"/>
    <x v="14"/>
    <x v="8"/>
    <s v="kit"/>
    <s v="S14"/>
    <x v="11"/>
    <d v="2024-01-22T00:00:00"/>
    <d v="2024-01-26T00:00:00"/>
    <n v="3.55"/>
    <n v="48027.46"/>
    <n v="48000"/>
    <d v="2024-05-31T00:00:00"/>
    <x v="66"/>
    <n v="3.55"/>
    <s v="Standard"/>
    <n v="1"/>
    <n v="1"/>
    <n v="1"/>
    <x v="14"/>
    <x v="1"/>
    <n v="45292"/>
    <n v="170497.48299999998"/>
    <n v="170400"/>
    <n v="97.482999999996892"/>
  </r>
  <r>
    <x v="83"/>
    <s v="M13"/>
    <x v="12"/>
    <x v="6"/>
    <s v="kg"/>
    <s v="S12"/>
    <x v="9"/>
    <d v="2024-02-07T00:00:00"/>
    <d v="2024-02-10T00:00:00"/>
    <n v="97.932000000000002"/>
    <n v="3911.59"/>
    <n v="3900"/>
    <d v="2024-04-20T00:00:00"/>
    <x v="67"/>
    <n v="97.932000000000002"/>
    <s v="Standard"/>
    <n v="1"/>
    <n v="1"/>
    <n v="1"/>
    <x v="16"/>
    <x v="1"/>
    <n v="45323"/>
    <n v="383069.83188000001"/>
    <n v="381934.8"/>
    <n v="1135.0318800000143"/>
  </r>
  <r>
    <x v="84"/>
    <s v="M20"/>
    <x v="19"/>
    <x v="12"/>
    <s v="kit"/>
    <s v="S18"/>
    <x v="15"/>
    <d v="2024-02-05T00:00:00"/>
    <d v="2024-02-07T00:00:00"/>
    <n v="65140.311999999998"/>
    <n v="6.49"/>
    <n v="6.5"/>
    <d v="2024-04-03T00:00:00"/>
    <x v="68"/>
    <n v="65140.311999999998"/>
    <s v="Standard"/>
    <n v="1"/>
    <n v="1"/>
    <n v="1"/>
    <x v="17"/>
    <x v="1"/>
    <n v="45323"/>
    <n v="422760.62488000002"/>
    <n v="423412.02799999999"/>
    <n v="-651.40311999998607"/>
  </r>
  <r>
    <x v="85"/>
    <s v="M03"/>
    <x v="2"/>
    <x v="2"/>
    <s v="liter"/>
    <s v="S06"/>
    <x v="2"/>
    <d v="2024-02-12T00:00:00"/>
    <d v="2024-02-15T00:00:00"/>
    <n v="51713.082999999999"/>
    <n v="9.5399999999999991"/>
    <n v="9.5"/>
    <d v="2024-03-07T00:00:00"/>
    <x v="69"/>
    <n v="51713.082999999999"/>
    <s v="Standard"/>
    <n v="1"/>
    <n v="1"/>
    <n v="1"/>
    <x v="2"/>
    <x v="1"/>
    <n v="45323"/>
    <n v="493342.81181999994"/>
    <n v="491274.28849999997"/>
    <n v="2068.5233199999557"/>
  </r>
  <r>
    <x v="86"/>
    <s v="M04"/>
    <x v="3"/>
    <x v="3"/>
    <s v="cylinder"/>
    <s v="S05"/>
    <x v="3"/>
    <d v="2024-02-13T00:00:00"/>
    <d v="2024-02-20T00:00:00"/>
    <n v="172.35"/>
    <n v="2106.35"/>
    <n v="1850"/>
    <d v="2024-03-05T00:00:00"/>
    <x v="61"/>
    <n v="172.35"/>
    <s v="Expedite"/>
    <n v="1"/>
    <n v="1"/>
    <n v="1"/>
    <x v="40"/>
    <x v="1"/>
    <n v="45323"/>
    <n v="363029.42249999999"/>
    <n v="318847.5"/>
    <n v="44181.922499999986"/>
  </r>
  <r>
    <x v="87"/>
    <s v="M16"/>
    <x v="15"/>
    <x v="9"/>
    <s v="each"/>
    <s v="S15"/>
    <x v="12"/>
    <d v="2024-02-12T00:00:00"/>
    <d v="2024-02-20T00:00:00"/>
    <n v="26185105.287999999"/>
    <n v="0.11219999999999999"/>
    <n v="0.11"/>
    <d v="2024-04-30T00:00:00"/>
    <x v="70"/>
    <n v="26185105.287999999"/>
    <s v="Standard"/>
    <n v="1"/>
    <n v="1"/>
    <n v="1"/>
    <x v="21"/>
    <x v="1"/>
    <n v="45323"/>
    <n v="2937968.8133135997"/>
    <n v="2880361.5816799998"/>
    <n v="57607.231633599833"/>
  </r>
  <r>
    <x v="88"/>
    <s v="M17"/>
    <x v="16"/>
    <x v="10"/>
    <s v="meter"/>
    <s v="S16"/>
    <x v="13"/>
    <d v="2024-02-13T00:00:00"/>
    <d v="2024-02-15T00:00:00"/>
    <n v="15618409.392000001"/>
    <n v="4.0000000000000001E-3"/>
    <n v="4.0000000000000001E-3"/>
    <d v="2024-03-21T00:00:00"/>
    <x v="71"/>
    <n v="15618409.392000001"/>
    <s v="Standard"/>
    <n v="1"/>
    <n v="1"/>
    <n v="1"/>
    <x v="15"/>
    <x v="1"/>
    <n v="45323"/>
    <n v="62473.637568000006"/>
    <n v="62473.637568000006"/>
    <n v="0"/>
  </r>
  <r>
    <x v="89"/>
    <s v="M18"/>
    <x v="17"/>
    <x v="10"/>
    <s v="gram"/>
    <s v="S16"/>
    <x v="13"/>
    <d v="2024-02-14T00:00:00"/>
    <d v="2024-02-16T00:00:00"/>
    <n v="9125766.898"/>
    <n v="2.0199999999999999E-2"/>
    <n v="0.02"/>
    <d v="2024-03-22T00:00:00"/>
    <x v="60"/>
    <n v="9125766.898"/>
    <s v="Standard"/>
    <n v="1"/>
    <n v="1"/>
    <n v="1"/>
    <x v="15"/>
    <x v="1"/>
    <n v="45323"/>
    <n v="184340.4913396"/>
    <n v="182515.33796"/>
    <n v="1825.153379599989"/>
  </r>
  <r>
    <x v="90"/>
    <s v="M21"/>
    <x v="20"/>
    <x v="13"/>
    <s v="each"/>
    <s v="S19"/>
    <x v="16"/>
    <d v="2024-02-13T00:00:00"/>
    <d v="2024-02-17T00:00:00"/>
    <n v="26096250.548"/>
    <n v="1.2E-2"/>
    <n v="1.2E-2"/>
    <d v="2024-03-02T00:00:00"/>
    <x v="61"/>
    <n v="26096250.548"/>
    <s v="Standard"/>
    <n v="1"/>
    <n v="1"/>
    <n v="1"/>
    <x v="41"/>
    <x v="1"/>
    <n v="45323"/>
    <n v="313155.00657600001"/>
    <n v="313155.00657600001"/>
    <n v="0"/>
  </r>
  <r>
    <x v="91"/>
    <s v="M02"/>
    <x v="1"/>
    <x v="1"/>
    <s v="liter"/>
    <s v="S03"/>
    <x v="1"/>
    <d v="2024-02-21T00:00:00"/>
    <d v="2024-02-28T00:00:00"/>
    <n v="905.18299999999999"/>
    <n v="2405.87"/>
    <n v="2400"/>
    <d v="2024-05-08T00:00:00"/>
    <x v="72"/>
    <n v="905.18299999999999"/>
    <s v="Standard"/>
    <n v="1"/>
    <n v="1"/>
    <n v="1"/>
    <x v="31"/>
    <x v="1"/>
    <n v="45323"/>
    <n v="2177752.62421"/>
    <n v="2172439.2000000002"/>
    <n v="5313.424209999901"/>
  </r>
  <r>
    <x v="92"/>
    <s v="M09"/>
    <x v="8"/>
    <x v="2"/>
    <s v="liter"/>
    <s v="S09"/>
    <x v="6"/>
    <d v="2024-02-21T00:00:00"/>
    <d v="2024-02-26T00:00:00"/>
    <n v="64710.129000000001"/>
    <n v="6.79"/>
    <n v="6.8"/>
    <d v="2024-03-18T00:00:00"/>
    <x v="73"/>
    <n v="50032.862999999998"/>
    <s v="Standard"/>
    <n v="1"/>
    <n v="0"/>
    <n v="0"/>
    <x v="8"/>
    <x v="1"/>
    <n v="45323"/>
    <n v="339723.13977000001"/>
    <n v="340223.46839999995"/>
    <n v="-500.32862999998929"/>
  </r>
  <r>
    <x v="93"/>
    <s v="M11"/>
    <x v="10"/>
    <x v="4"/>
    <s v="each"/>
    <s v="S10"/>
    <x v="7"/>
    <d v="2024-02-19T00:00:00"/>
    <d v="2024-02-21T00:00:00"/>
    <n v="310.95499999999998"/>
    <n v="522.98"/>
    <n v="520"/>
    <d v="2024-03-27T00:00:00"/>
    <x v="74"/>
    <n v="310.95499999999998"/>
    <s v="Standard"/>
    <n v="1"/>
    <n v="1"/>
    <n v="1"/>
    <x v="10"/>
    <x v="1"/>
    <n v="45323"/>
    <n v="162623.24590000001"/>
    <n v="161696.6"/>
    <n v="926.64590000000555"/>
  </r>
  <r>
    <x v="94"/>
    <s v="M01"/>
    <x v="0"/>
    <x v="0"/>
    <s v="wafer"/>
    <s v="S02"/>
    <x v="17"/>
    <d v="2024-02-27T00:00:00"/>
    <d v="2024-02-28T00:00:00"/>
    <n v="25906.441999999999"/>
    <n v="119.95"/>
    <n v="118"/>
    <d v="2024-04-10T00:00:00"/>
    <x v="75"/>
    <n v="25906.441999999999"/>
    <s v="Standard"/>
    <n v="1"/>
    <n v="1"/>
    <n v="1"/>
    <x v="0"/>
    <x v="1"/>
    <n v="45323"/>
    <n v="3107477.7179"/>
    <n v="3056960.156"/>
    <n v="50517.561900000073"/>
  </r>
  <r>
    <x v="95"/>
    <s v="M05"/>
    <x v="4"/>
    <x v="3"/>
    <s v="kg"/>
    <s v="S08"/>
    <x v="5"/>
    <d v="2024-02-26T00:00:00"/>
    <d v="2024-03-01T00:00:00"/>
    <n v="23317.091"/>
    <n v="28.3"/>
    <n v="28"/>
    <d v="2024-04-12T00:00:00"/>
    <x v="76"/>
    <n v="23317.091"/>
    <s v="Standard"/>
    <n v="1"/>
    <n v="1"/>
    <n v="1"/>
    <x v="5"/>
    <x v="1"/>
    <n v="45352"/>
    <n v="659873.6753"/>
    <n v="652878.54799999995"/>
    <n v="6995.1273000000165"/>
  </r>
  <r>
    <x v="96"/>
    <s v="M06"/>
    <x v="5"/>
    <x v="3"/>
    <s v="kg"/>
    <s v="S07"/>
    <x v="4"/>
    <d v="2024-02-26T00:00:00"/>
    <d v="2024-03-02T00:00:00"/>
    <n v="2072"/>
    <n v="419.05"/>
    <n v="410"/>
    <d v="2024-04-13T00:00:00"/>
    <x v="77"/>
    <n v="2072"/>
    <s v="Standard"/>
    <n v="0"/>
    <n v="1"/>
    <n v="0"/>
    <x v="42"/>
    <x v="1"/>
    <n v="45352"/>
    <n v="868271.6"/>
    <n v="849520"/>
    <n v="18751.600000000024"/>
  </r>
  <r>
    <x v="97"/>
    <s v="M07"/>
    <x v="6"/>
    <x v="3"/>
    <s v="kg"/>
    <s v="S08"/>
    <x v="5"/>
    <d v="2024-02-27T00:00:00"/>
    <d v="2024-03-01T00:00:00"/>
    <n v="3108.5659999999998"/>
    <n v="160.22999999999999"/>
    <n v="160"/>
    <d v="2024-03-29T00:00:00"/>
    <x v="78"/>
    <n v="3108.5659999999998"/>
    <s v="Standard"/>
    <n v="1"/>
    <n v="1"/>
    <n v="1"/>
    <x v="43"/>
    <x v="1"/>
    <n v="45352"/>
    <n v="498085.53017999994"/>
    <n v="497370.55999999994"/>
    <n v="714.9701799999682"/>
  </r>
  <r>
    <x v="98"/>
    <s v="M08"/>
    <x v="7"/>
    <x v="2"/>
    <s v="liter"/>
    <s v="S06"/>
    <x v="2"/>
    <d v="2024-02-26T00:00:00"/>
    <d v="2024-02-28T00:00:00"/>
    <n v="155562.087"/>
    <n v="4.26"/>
    <n v="4.2"/>
    <d v="2024-03-20T00:00:00"/>
    <x v="54"/>
    <n v="155562.087"/>
    <s v="Standard"/>
    <n v="1"/>
    <n v="1"/>
    <n v="1"/>
    <x v="2"/>
    <x v="1"/>
    <n v="45323"/>
    <n v="662694.49061999994"/>
    <n v="653360.76540000003"/>
    <n v="9333.7252199999384"/>
  </r>
  <r>
    <x v="99"/>
    <s v="M10"/>
    <x v="9"/>
    <x v="4"/>
    <s v="liter"/>
    <s v="S10"/>
    <x v="7"/>
    <d v="2024-02-26T00:00:00"/>
    <d v="2024-02-29T00:00:00"/>
    <n v="15544.091"/>
    <n v="38.520000000000003"/>
    <n v="38"/>
    <d v="2024-04-04T00:00:00"/>
    <x v="79"/>
    <n v="15544.091"/>
    <s v="Standard"/>
    <n v="1"/>
    <n v="1"/>
    <n v="1"/>
    <x v="28"/>
    <x v="1"/>
    <n v="45323"/>
    <n v="598758.38532000012"/>
    <n v="590675.45799999998"/>
    <n v="8082.9273200000489"/>
  </r>
  <r>
    <x v="100"/>
    <s v="M12"/>
    <x v="11"/>
    <x v="5"/>
    <s v="each"/>
    <s v="S11"/>
    <x v="8"/>
    <d v="2024-02-26T00:00:00"/>
    <d v="2024-03-02T00:00:00"/>
    <n v="15.54"/>
    <n v="9494.2199999999993"/>
    <n v="9500"/>
    <d v="2024-05-04T00:00:00"/>
    <x v="80"/>
    <n v="15.54"/>
    <s v="Standard"/>
    <n v="1"/>
    <n v="1"/>
    <n v="1"/>
    <x v="44"/>
    <x v="1"/>
    <n v="45352"/>
    <n v="147540.17879999999"/>
    <n v="147630"/>
    <n v="-89.821200000010165"/>
  </r>
  <r>
    <x v="101"/>
    <s v="M14"/>
    <x v="13"/>
    <x v="7"/>
    <s v="kit"/>
    <s v="S13"/>
    <x v="10"/>
    <d v="2024-02-26T00:00:00"/>
    <d v="2024-02-27T00:00:00"/>
    <n v="20.72"/>
    <n v="6346.45"/>
    <n v="6200"/>
    <d v="2024-04-16T00:00:00"/>
    <x v="81"/>
    <n v="20.72"/>
    <s v="Standard"/>
    <n v="1"/>
    <n v="1"/>
    <n v="1"/>
    <x v="36"/>
    <x v="1"/>
    <n v="45323"/>
    <n v="131498.44399999999"/>
    <n v="128464"/>
    <n v="3034.4439999999959"/>
  </r>
  <r>
    <x v="102"/>
    <s v="M15"/>
    <x v="14"/>
    <x v="8"/>
    <s v="kit"/>
    <s v="S14"/>
    <x v="11"/>
    <d v="2024-03-05T00:00:00"/>
    <d v="2024-03-08T00:00:00"/>
    <n v="4"/>
    <n v="47575.06"/>
    <n v="48000"/>
    <d v="2024-07-12T00:00:00"/>
    <x v="82"/>
    <n v="4"/>
    <s v="Standard"/>
    <n v="1"/>
    <n v="1"/>
    <n v="1"/>
    <x v="19"/>
    <x v="1"/>
    <n v="45352"/>
    <n v="190300.24"/>
    <n v="192000"/>
    <n v="-1699.7600000000093"/>
  </r>
  <r>
    <x v="103"/>
    <s v="M20"/>
    <x v="19"/>
    <x v="12"/>
    <s v="kit"/>
    <s v="S18"/>
    <x v="15"/>
    <d v="2024-03-12T00:00:00"/>
    <d v="2024-03-15T00:00:00"/>
    <n v="70446.267999999996"/>
    <n v="6.5"/>
    <n v="6.5"/>
    <d v="2024-05-10T00:00:00"/>
    <x v="83"/>
    <n v="70446.267999999996"/>
    <s v="Standard"/>
    <n v="0"/>
    <n v="1"/>
    <n v="0"/>
    <x v="45"/>
    <x v="1"/>
    <n v="45352"/>
    <n v="457900.74199999997"/>
    <n v="457900.74199999997"/>
    <n v="0"/>
  </r>
  <r>
    <x v="104"/>
    <s v="M09"/>
    <x v="8"/>
    <x v="2"/>
    <s v="liter"/>
    <s v="S09"/>
    <x v="6"/>
    <d v="2024-03-19T00:00:00"/>
    <d v="2024-03-22T00:00:00"/>
    <n v="62707.203000000001"/>
    <n v="6.93"/>
    <n v="6.8"/>
    <d v="2024-04-12T00:00:00"/>
    <x v="84"/>
    <n v="62707.203000000001"/>
    <s v="Standard"/>
    <n v="1"/>
    <n v="1"/>
    <n v="1"/>
    <x v="22"/>
    <x v="1"/>
    <n v="45352"/>
    <n v="434560.91678999999"/>
    <n v="426408.9804"/>
    <n v="8151.9363899999935"/>
  </r>
  <r>
    <x v="105"/>
    <s v="M13"/>
    <x v="12"/>
    <x v="6"/>
    <s v="kg"/>
    <s v="S12"/>
    <x v="9"/>
    <d v="2024-03-18T00:00:00"/>
    <d v="2024-03-20T00:00:00"/>
    <n v="103.73099999999999"/>
    <n v="3862.72"/>
    <n v="3900"/>
    <d v="2024-05-29T00:00:00"/>
    <x v="85"/>
    <n v="103.73099999999999"/>
    <s v="Standard"/>
    <n v="1"/>
    <n v="1"/>
    <n v="1"/>
    <x v="31"/>
    <x v="1"/>
    <n v="45352"/>
    <n v="400683.80831999995"/>
    <n v="404550.89999999997"/>
    <n v="-3867.0916800000205"/>
  </r>
  <r>
    <x v="106"/>
    <s v="M17"/>
    <x v="16"/>
    <x v="10"/>
    <s v="meter"/>
    <s v="S16"/>
    <x v="13"/>
    <d v="2024-03-20T00:00:00"/>
    <d v="2024-03-26T00:00:00"/>
    <n v="13793710.411"/>
    <n v="4.1000000000000003E-3"/>
    <n v="4.0000000000000001E-3"/>
    <d v="2024-04-30T00:00:00"/>
    <x v="86"/>
    <n v="13793710.411"/>
    <s v="Standard"/>
    <n v="1"/>
    <n v="1"/>
    <n v="1"/>
    <x v="28"/>
    <x v="1"/>
    <n v="45352"/>
    <n v="56554.212685100007"/>
    <n v="55174.841644"/>
    <n v="1379.3710411000036"/>
  </r>
  <r>
    <x v="107"/>
    <s v="M18"/>
    <x v="17"/>
    <x v="10"/>
    <s v="gram"/>
    <s v="S16"/>
    <x v="13"/>
    <d v="2024-03-19T00:00:00"/>
    <d v="2024-03-21T00:00:00"/>
    <n v="8031134.9280000003"/>
    <n v="0.02"/>
    <n v="0.02"/>
    <d v="2024-04-25T00:00:00"/>
    <x v="87"/>
    <n v="8031134.9280000003"/>
    <s v="Standard"/>
    <n v="1"/>
    <n v="1"/>
    <n v="1"/>
    <x v="10"/>
    <x v="1"/>
    <n v="45352"/>
    <n v="160622.69856000002"/>
    <n v="160622.69856000002"/>
    <n v="0"/>
  </r>
  <r>
    <x v="108"/>
    <s v="M21"/>
    <x v="20"/>
    <x v="13"/>
    <s v="each"/>
    <s v="S19"/>
    <x v="16"/>
    <d v="2024-03-20T00:00:00"/>
    <d v="2024-03-25T00:00:00"/>
    <n v="23025214.454999998"/>
    <n v="1.1900000000000001E-2"/>
    <n v="1.2E-2"/>
    <d v="2024-04-08T00:00:00"/>
    <x v="88"/>
    <n v="23025214.454999998"/>
    <s v="Standard"/>
    <n v="1"/>
    <n v="1"/>
    <n v="1"/>
    <x v="18"/>
    <x v="1"/>
    <n v="45352"/>
    <n v="274000.05201450002"/>
    <n v="276302.57345999999"/>
    <n v="-2302.5214454999859"/>
  </r>
  <r>
    <x v="109"/>
    <s v="M02"/>
    <x v="1"/>
    <x v="1"/>
    <s v="liter"/>
    <s v="S03"/>
    <x v="1"/>
    <d v="2024-03-25T00:00:00"/>
    <d v="2024-03-27T00:00:00"/>
    <n v="842.57399999999996"/>
    <n v="2406.0300000000002"/>
    <n v="2400"/>
    <d v="2024-06-05T00:00:00"/>
    <x v="89"/>
    <n v="842.57399999999996"/>
    <s v="Standard"/>
    <n v="1"/>
    <n v="1"/>
    <n v="1"/>
    <x v="21"/>
    <x v="1"/>
    <n v="45352"/>
    <n v="2027258.32122"/>
    <n v="2022177.5999999999"/>
    <n v="5080.7212200001686"/>
  </r>
  <r>
    <x v="110"/>
    <s v="M03"/>
    <x v="2"/>
    <x v="2"/>
    <s v="liter"/>
    <s v="S09"/>
    <x v="6"/>
    <d v="2024-03-25T00:00:00"/>
    <d v="2024-03-30T00:00:00"/>
    <n v="46591.754000000001"/>
    <n v="9.7899999999999991"/>
    <n v="9.5"/>
    <d v="2024-04-20T00:00:00"/>
    <x v="70"/>
    <n v="46591.754000000001"/>
    <s v="Standard"/>
    <n v="0"/>
    <n v="1"/>
    <n v="0"/>
    <x v="33"/>
    <x v="1"/>
    <n v="45352"/>
    <n v="456133.27165999997"/>
    <n v="442621.663"/>
    <n v="13511.60865999996"/>
  </r>
  <r>
    <x v="111"/>
    <s v="M04"/>
    <x v="3"/>
    <x v="3"/>
    <s v="cylinder"/>
    <s v="S05"/>
    <x v="3"/>
    <d v="2024-03-26T00:00:00"/>
    <d v="2024-03-28T00:00:00"/>
    <n v="156.12"/>
    <n v="1850.1"/>
    <n v="1850"/>
    <d v="2024-05-23T00:00:00"/>
    <x v="90"/>
    <n v="156.12"/>
    <s v="Standard"/>
    <n v="1"/>
    <n v="1"/>
    <n v="1"/>
    <x v="38"/>
    <x v="1"/>
    <n v="45352"/>
    <n v="288837.61200000002"/>
    <n v="288822"/>
    <n v="15.611999999985802"/>
  </r>
  <r>
    <x v="112"/>
    <s v="M15"/>
    <x v="14"/>
    <x v="8"/>
    <s v="kit"/>
    <s v="S14"/>
    <x v="11"/>
    <d v="2024-03-26T00:00:00"/>
    <d v="2024-03-28T00:00:00"/>
    <n v="4"/>
    <n v="48816.44"/>
    <n v="48000"/>
    <d v="2024-08-01T00:00:00"/>
    <x v="91"/>
    <n v="4"/>
    <s v="Standard"/>
    <n v="1"/>
    <n v="1"/>
    <n v="1"/>
    <x v="14"/>
    <x v="1"/>
    <n v="45352"/>
    <n v="195265.76"/>
    <n v="192000"/>
    <n v="3265.7600000000093"/>
  </r>
  <r>
    <x v="113"/>
    <s v="M16"/>
    <x v="15"/>
    <x v="9"/>
    <s v="each"/>
    <s v="S15"/>
    <x v="12"/>
    <d v="2024-03-27T00:00:00"/>
    <d v="2024-03-28T00:00:00"/>
    <n v="25577144.577"/>
    <n v="0.112"/>
    <n v="0.11"/>
    <d v="2024-06-06T00:00:00"/>
    <x v="89"/>
    <n v="25577144.577"/>
    <s v="Standard"/>
    <n v="1"/>
    <n v="1"/>
    <n v="1"/>
    <x v="1"/>
    <x v="1"/>
    <n v="45352"/>
    <n v="2864640.1926239999"/>
    <n v="2813485.9034699998"/>
    <n v="51154.289154000042"/>
  </r>
  <r>
    <x v="114"/>
    <s v="M10"/>
    <x v="9"/>
    <x v="4"/>
    <s v="liter"/>
    <s v="S10"/>
    <x v="7"/>
    <d v="2024-04-01T00:00:00"/>
    <d v="2024-04-05T00:00:00"/>
    <n v="14411.787"/>
    <n v="38.36"/>
    <n v="38"/>
    <d v="2024-05-10T00:00:00"/>
    <x v="92"/>
    <n v="14411.787"/>
    <s v="Standard"/>
    <n v="1"/>
    <n v="1"/>
    <n v="1"/>
    <x v="15"/>
    <x v="1"/>
    <n v="45383"/>
    <n v="552836.14931999997"/>
    <n v="547647.90599999996"/>
    <n v="5188.2433199999923"/>
  </r>
  <r>
    <x v="115"/>
    <s v="M11"/>
    <x v="10"/>
    <x v="4"/>
    <s v="each"/>
    <s v="S10"/>
    <x v="7"/>
    <d v="2024-04-01T00:00:00"/>
    <d v="2024-04-03T00:00:00"/>
    <n v="345.11099999999999"/>
    <n v="517.41999999999996"/>
    <n v="520"/>
    <d v="2024-05-08T00:00:00"/>
    <x v="93"/>
    <n v="345.11099999999999"/>
    <s v="Standard"/>
    <n v="1"/>
    <n v="1"/>
    <n v="1"/>
    <x v="15"/>
    <x v="1"/>
    <n v="45383"/>
    <n v="178567.33361999999"/>
    <n v="179457.72"/>
    <n v="-890.38638000001413"/>
  </r>
  <r>
    <x v="116"/>
    <s v="M01"/>
    <x v="0"/>
    <x v="0"/>
    <s v="wafer"/>
    <s v="S02"/>
    <x v="17"/>
    <d v="2024-04-08T00:00:00"/>
    <d v="2024-04-09T00:00:00"/>
    <n v="28764.42"/>
    <n v="117.74"/>
    <n v="118"/>
    <d v="2024-05-21T00:00:00"/>
    <x v="94"/>
    <n v="28764.42"/>
    <s v="Standard"/>
    <n v="0"/>
    <n v="1"/>
    <n v="0"/>
    <x v="46"/>
    <x v="1"/>
    <n v="45383"/>
    <n v="3386722.8107999996"/>
    <n v="3394201.5599999996"/>
    <n v="-7478.7492000001466"/>
  </r>
  <r>
    <x v="117"/>
    <s v="M05"/>
    <x v="4"/>
    <x v="3"/>
    <s v="kg"/>
    <s v="S07"/>
    <x v="4"/>
    <d v="2024-04-10T00:00:00"/>
    <d v="2024-04-13T00:00:00"/>
    <n v="25876.421999999999"/>
    <n v="28.68"/>
    <n v="28"/>
    <d v="2024-05-25T00:00:00"/>
    <x v="95"/>
    <n v="25876.421999999999"/>
    <s v="Standard"/>
    <n v="1"/>
    <n v="1"/>
    <n v="1"/>
    <x v="0"/>
    <x v="1"/>
    <n v="45383"/>
    <n v="742135.78295999998"/>
    <n v="724539.81599999999"/>
    <n v="17595.966959999991"/>
  </r>
  <r>
    <x v="118"/>
    <s v="M06"/>
    <x v="5"/>
    <x v="3"/>
    <s v="kg"/>
    <s v="S07"/>
    <x v="4"/>
    <d v="2024-04-10T00:00:00"/>
    <d v="2024-04-14T00:00:00"/>
    <n v="2300.866"/>
    <n v="411.19"/>
    <n v="410"/>
    <d v="2024-05-26T00:00:00"/>
    <x v="94"/>
    <n v="2300.866"/>
    <s v="Standard"/>
    <n v="0"/>
    <n v="1"/>
    <n v="0"/>
    <x v="39"/>
    <x v="1"/>
    <n v="45383"/>
    <n v="946093.09054"/>
    <n v="943355.05999999994"/>
    <n v="2738.0305399999947"/>
  </r>
  <r>
    <x v="119"/>
    <s v="M07"/>
    <x v="6"/>
    <x v="3"/>
    <s v="kg"/>
    <s v="S08"/>
    <x v="5"/>
    <d v="2024-04-10T00:00:00"/>
    <d v="2024-04-13T00:00:00"/>
    <n v="3451.68"/>
    <n v="157.18"/>
    <n v="160"/>
    <d v="2024-05-11T00:00:00"/>
    <x v="96"/>
    <n v="2877.1480000000001"/>
    <s v="Standard"/>
    <n v="1"/>
    <n v="0"/>
    <n v="0"/>
    <x v="43"/>
    <x v="1"/>
    <n v="45383"/>
    <n v="452230.12264000002"/>
    <n v="460343.68000000005"/>
    <n v="-8113.5573599999807"/>
  </r>
  <r>
    <x v="120"/>
    <s v="M08"/>
    <x v="7"/>
    <x v="2"/>
    <s v="liter"/>
    <s v="S09"/>
    <x v="6"/>
    <d v="2024-04-09T00:00:00"/>
    <d v="2024-04-12T00:00:00"/>
    <n v="172512.00899999999"/>
    <n v="4.24"/>
    <n v="4.2"/>
    <d v="2024-05-03T00:00:00"/>
    <x v="97"/>
    <n v="172512.00899999999"/>
    <s v="Standard"/>
    <n v="1"/>
    <n v="1"/>
    <n v="1"/>
    <x v="8"/>
    <x v="1"/>
    <n v="45383"/>
    <n v="731450.91816"/>
    <n v="724550.43779999996"/>
    <n v="6900.4803600000059"/>
  </r>
  <r>
    <x v="121"/>
    <s v="M12"/>
    <x v="11"/>
    <x v="5"/>
    <s v="each"/>
    <s v="S11"/>
    <x v="8"/>
    <d v="2024-04-08T00:00:00"/>
    <d v="2024-04-11T00:00:00"/>
    <n v="17.25"/>
    <n v="9659.4"/>
    <n v="9500"/>
    <d v="2024-06-13T00:00:00"/>
    <x v="98"/>
    <n v="17.25"/>
    <s v="Standard"/>
    <n v="1"/>
    <n v="1"/>
    <n v="1"/>
    <x v="11"/>
    <x v="1"/>
    <n v="45383"/>
    <n v="166624.65"/>
    <n v="163875"/>
    <n v="2749.6499999999937"/>
  </r>
  <r>
    <x v="122"/>
    <s v="M14"/>
    <x v="13"/>
    <x v="7"/>
    <s v="kit"/>
    <s v="S13"/>
    <x v="10"/>
    <d v="2024-04-10T00:00:00"/>
    <d v="2024-04-15T00:00:00"/>
    <n v="23"/>
    <n v="6315.7"/>
    <n v="6200"/>
    <d v="2024-06-03T00:00:00"/>
    <x v="99"/>
    <n v="23"/>
    <s v="Standard"/>
    <n v="1"/>
    <n v="1"/>
    <n v="1"/>
    <x v="13"/>
    <x v="1"/>
    <n v="45383"/>
    <n v="145261.1"/>
    <n v="142600"/>
    <n v="2661.0999999999958"/>
  </r>
  <r>
    <x v="123"/>
    <s v="M20"/>
    <x v="19"/>
    <x v="12"/>
    <s v="kit"/>
    <s v="S18"/>
    <x v="15"/>
    <d v="2024-04-16T00:00:00"/>
    <d v="2024-04-19T00:00:00"/>
    <n v="68279.320999999996"/>
    <n v="6.52"/>
    <n v="6.5"/>
    <d v="2024-06-14T00:00:00"/>
    <x v="100"/>
    <n v="68279.320999999996"/>
    <s v="Standard"/>
    <n v="1"/>
    <n v="1"/>
    <n v="1"/>
    <x v="23"/>
    <x v="1"/>
    <n v="45383"/>
    <n v="445181.17291999992"/>
    <n v="443815.58649999998"/>
    <n v="1365.5864199999708"/>
  </r>
  <r>
    <x v="124"/>
    <s v="M09"/>
    <x v="8"/>
    <x v="2"/>
    <s v="liter"/>
    <s v="S09"/>
    <x v="6"/>
    <d v="2024-04-23T00:00:00"/>
    <d v="2024-04-25T00:00:00"/>
    <n v="60002.6"/>
    <n v="6.87"/>
    <n v="6.8"/>
    <d v="2024-05-16T00:00:00"/>
    <x v="101"/>
    <n v="60002.6"/>
    <s v="Standard"/>
    <n v="1"/>
    <n v="1"/>
    <n v="1"/>
    <x v="8"/>
    <x v="1"/>
    <n v="45383"/>
    <n v="412217.86200000002"/>
    <n v="408017.68"/>
    <n v="4200.1820000000171"/>
  </r>
  <r>
    <x v="125"/>
    <s v="M13"/>
    <x v="12"/>
    <x v="6"/>
    <s v="kg"/>
    <s v="S12"/>
    <x v="9"/>
    <d v="2024-04-24T00:00:00"/>
    <d v="2024-04-27T00:00:00"/>
    <n v="96.171999999999997"/>
    <n v="3863.53"/>
    <n v="3900"/>
    <d v="2024-07-06T00:00:00"/>
    <x v="102"/>
    <n v="96.171999999999997"/>
    <s v="Standard"/>
    <n v="1"/>
    <n v="1"/>
    <n v="1"/>
    <x v="31"/>
    <x v="1"/>
    <n v="45383"/>
    <n v="371563.40716"/>
    <n v="375070.8"/>
    <n v="-3507.3928399999804"/>
  </r>
  <r>
    <x v="126"/>
    <s v="M17"/>
    <x v="16"/>
    <x v="10"/>
    <s v="meter"/>
    <s v="S16"/>
    <x v="13"/>
    <d v="2024-04-24T00:00:00"/>
    <d v="2024-04-26T00:00:00"/>
    <n v="13891425.560000001"/>
    <n v="4.0000000000000001E-3"/>
    <n v="4.0000000000000001E-3"/>
    <d v="2024-05-31T00:00:00"/>
    <x v="66"/>
    <n v="13891425.560000001"/>
    <s v="Standard"/>
    <n v="1"/>
    <n v="1"/>
    <n v="1"/>
    <x v="10"/>
    <x v="1"/>
    <n v="45383"/>
    <n v="55565.702240000006"/>
    <n v="55565.702240000006"/>
    <n v="0"/>
  </r>
  <r>
    <x v="127"/>
    <s v="M18"/>
    <x v="17"/>
    <x v="10"/>
    <s v="gram"/>
    <s v="S16"/>
    <x v="13"/>
    <d v="2024-04-23T00:00:00"/>
    <d v="2024-04-26T00:00:00"/>
    <n v="8110212.733"/>
    <n v="2.07E-2"/>
    <n v="0.02"/>
    <d v="2024-05-31T00:00:00"/>
    <x v="103"/>
    <n v="8110212.733"/>
    <s v="Standard"/>
    <n v="0"/>
    <n v="1"/>
    <n v="0"/>
    <x v="47"/>
    <x v="1"/>
    <n v="45383"/>
    <n v="167881.40357309999"/>
    <n v="162204.25466000001"/>
    <n v="5677.1489130999935"/>
  </r>
  <r>
    <x v="128"/>
    <s v="M21"/>
    <x v="20"/>
    <x v="13"/>
    <s v="each"/>
    <s v="S19"/>
    <x v="16"/>
    <d v="2024-04-24T00:00:00"/>
    <d v="2024-04-29T00:00:00"/>
    <n v="23223426.802999999"/>
    <n v="1.23E-2"/>
    <n v="1.2E-2"/>
    <d v="2024-05-13T00:00:00"/>
    <x v="96"/>
    <n v="23223426.802999999"/>
    <s v="Standard"/>
    <n v="1"/>
    <n v="1"/>
    <n v="1"/>
    <x v="40"/>
    <x v="1"/>
    <n v="45383"/>
    <n v="285648.14967690001"/>
    <n v="278681.121636"/>
    <n v="6967.0280408999979"/>
  </r>
  <r>
    <x v="129"/>
    <s v="M02"/>
    <x v="1"/>
    <x v="1"/>
    <s v="liter"/>
    <s v="S03"/>
    <x v="1"/>
    <d v="2024-04-30T00:00:00"/>
    <d v="2024-05-05T00:00:00"/>
    <n v="840.65599999999995"/>
    <n v="2446.73"/>
    <n v="2400"/>
    <d v="2024-07-14T00:00:00"/>
    <x v="104"/>
    <n v="840.65599999999995"/>
    <s v="Standard"/>
    <n v="0"/>
    <n v="1"/>
    <n v="0"/>
    <x v="48"/>
    <x v="1"/>
    <n v="45413"/>
    <n v="2056858.2548799999"/>
    <n v="2017574.4"/>
    <n v="39283.854880000014"/>
  </r>
  <r>
    <x v="130"/>
    <s v="M03"/>
    <x v="2"/>
    <x v="2"/>
    <s v="liter"/>
    <s v="S06"/>
    <x v="2"/>
    <d v="2024-04-29T00:00:00"/>
    <d v="2024-05-01T00:00:00"/>
    <n v="43265.110999999997"/>
    <n v="9.69"/>
    <n v="9.5"/>
    <d v="2024-05-22T00:00:00"/>
    <x v="83"/>
    <n v="43265.110999999997"/>
    <s v="Standard"/>
    <n v="1"/>
    <n v="1"/>
    <n v="1"/>
    <x v="8"/>
    <x v="1"/>
    <n v="45413"/>
    <n v="419238.92558999994"/>
    <n v="411018.55449999997"/>
    <n v="8220.3710899999787"/>
  </r>
  <r>
    <x v="131"/>
    <s v="M04"/>
    <x v="3"/>
    <x v="3"/>
    <s v="cylinder"/>
    <s v="S05"/>
    <x v="3"/>
    <d v="2024-04-29T00:00:00"/>
    <d v="2024-05-01T00:00:00"/>
    <n v="144"/>
    <n v="1838.32"/>
    <n v="1850"/>
    <d v="2024-06-26T00:00:00"/>
    <x v="105"/>
    <n v="144"/>
    <s v="Standard"/>
    <n v="1"/>
    <n v="1"/>
    <n v="1"/>
    <x v="38"/>
    <x v="1"/>
    <n v="45413"/>
    <n v="264718.08000000002"/>
    <n v="266400"/>
    <n v="-1681.9200000000092"/>
  </r>
  <r>
    <x v="132"/>
    <s v="M15"/>
    <x v="14"/>
    <x v="8"/>
    <s v="kit"/>
    <s v="S14"/>
    <x v="11"/>
    <d v="2024-04-30T00:00:00"/>
    <d v="2024-05-02T00:00:00"/>
    <n v="3"/>
    <n v="53516.14"/>
    <n v="48000"/>
    <d v="2024-06-13T00:00:00"/>
    <x v="98"/>
    <n v="3"/>
    <s v="Expedite"/>
    <n v="1"/>
    <n v="1"/>
    <n v="1"/>
    <x v="5"/>
    <x v="1"/>
    <n v="45413"/>
    <n v="160548.41999999998"/>
    <n v="144000"/>
    <n v="16548.419999999998"/>
  </r>
  <r>
    <x v="133"/>
    <s v="M16"/>
    <x v="15"/>
    <x v="9"/>
    <s v="each"/>
    <s v="S15"/>
    <x v="12"/>
    <d v="2024-04-29T00:00:00"/>
    <d v="2024-05-02T00:00:00"/>
    <n v="23115557.925999999"/>
    <n v="0.1124"/>
    <n v="0.11"/>
    <d v="2024-07-11T00:00:00"/>
    <x v="82"/>
    <n v="23115557.925999999"/>
    <s v="Standard"/>
    <n v="1"/>
    <n v="1"/>
    <n v="1"/>
    <x v="16"/>
    <x v="1"/>
    <n v="45413"/>
    <n v="2598188.7108823997"/>
    <n v="2542711.3718599998"/>
    <n v="55477.339022399981"/>
  </r>
  <r>
    <x v="134"/>
    <s v="M10"/>
    <x v="9"/>
    <x v="4"/>
    <s v="liter"/>
    <s v="S10"/>
    <x v="7"/>
    <d v="2024-05-08T00:00:00"/>
    <d v="2024-05-11T00:00:00"/>
    <n v="14402.86"/>
    <n v="38.46"/>
    <n v="38"/>
    <d v="2024-06-15T00:00:00"/>
    <x v="100"/>
    <n v="14402.86"/>
    <s v="Standard"/>
    <n v="1"/>
    <n v="1"/>
    <n v="1"/>
    <x v="15"/>
    <x v="1"/>
    <n v="45413"/>
    <n v="553933.99560000002"/>
    <n v="547308.68000000005"/>
    <n v="6625.3156000000126"/>
  </r>
  <r>
    <x v="135"/>
    <s v="M11"/>
    <x v="10"/>
    <x v="4"/>
    <s v="each"/>
    <s v="S10"/>
    <x v="7"/>
    <d v="2024-05-07T00:00:00"/>
    <d v="2024-05-12T00:00:00"/>
    <n v="288.46899999999999"/>
    <n v="520.30999999999995"/>
    <n v="520"/>
    <d v="2024-06-16T00:00:00"/>
    <x v="103"/>
    <n v="288.46899999999999"/>
    <s v="Standard"/>
    <n v="1"/>
    <n v="1"/>
    <n v="1"/>
    <x v="15"/>
    <x v="1"/>
    <n v="45413"/>
    <n v="150093.30538999999"/>
    <n v="150003.88"/>
    <n v="89.425389999984262"/>
  </r>
  <r>
    <x v="136"/>
    <s v="M01"/>
    <x v="0"/>
    <x v="0"/>
    <s v="wafer"/>
    <s v="S01"/>
    <x v="0"/>
    <d v="2024-05-13T00:00:00"/>
    <d v="2024-05-18T00:00:00"/>
    <n v="24000"/>
    <n v="119"/>
    <n v="118"/>
    <d v="2024-06-29T00:00:00"/>
    <x v="106"/>
    <n v="24000"/>
    <s v="Standard"/>
    <n v="1"/>
    <n v="1"/>
    <n v="1"/>
    <x v="5"/>
    <x v="1"/>
    <n v="45413"/>
    <n v="2856000"/>
    <n v="2832000"/>
    <n v="24000"/>
  </r>
  <r>
    <x v="137"/>
    <s v="M05"/>
    <x v="4"/>
    <x v="3"/>
    <s v="kg"/>
    <s v="S07"/>
    <x v="4"/>
    <d v="2024-05-15T00:00:00"/>
    <d v="2024-05-19T00:00:00"/>
    <n v="21600"/>
    <n v="29.09"/>
    <n v="28"/>
    <d v="2024-06-30T00:00:00"/>
    <x v="107"/>
    <n v="19080.276000000002"/>
    <s v="Standard"/>
    <n v="1"/>
    <n v="0"/>
    <n v="0"/>
    <x v="4"/>
    <x v="1"/>
    <n v="45413"/>
    <n v="555045.22884"/>
    <n v="534247.728"/>
    <n v="20797.500840000001"/>
  </r>
  <r>
    <x v="138"/>
    <s v="M06"/>
    <x v="5"/>
    <x v="3"/>
    <s v="kg"/>
    <s v="S07"/>
    <x v="4"/>
    <d v="2024-05-14T00:00:00"/>
    <d v="2024-05-16T00:00:00"/>
    <n v="1920.202"/>
    <n v="405.32"/>
    <n v="410"/>
    <d v="2024-06-27T00:00:00"/>
    <x v="108"/>
    <n v="1920.202"/>
    <s v="Standard"/>
    <n v="1"/>
    <n v="1"/>
    <n v="1"/>
    <x v="4"/>
    <x v="1"/>
    <n v="45413"/>
    <n v="778296.27463999996"/>
    <n v="787282.82"/>
    <n v="-8986.5453600000128"/>
  </r>
  <r>
    <x v="139"/>
    <s v="M07"/>
    <x v="6"/>
    <x v="3"/>
    <s v="kg"/>
    <s v="S08"/>
    <x v="5"/>
    <d v="2024-05-13T00:00:00"/>
    <d v="2024-05-17T00:00:00"/>
    <n v="3454.7719999999999"/>
    <n v="164.14"/>
    <n v="160"/>
    <d v="2024-06-14T00:00:00"/>
    <x v="100"/>
    <n v="3454.7719999999999"/>
    <s v="Standard"/>
    <n v="1"/>
    <n v="1"/>
    <n v="1"/>
    <x v="43"/>
    <x v="1"/>
    <n v="45413"/>
    <n v="567066.27607999998"/>
    <n v="552763.52"/>
    <n v="14302.756079999952"/>
  </r>
  <r>
    <x v="140"/>
    <s v="M08"/>
    <x v="7"/>
    <x v="2"/>
    <s v="liter"/>
    <s v="S09"/>
    <x v="6"/>
    <d v="2024-05-15T00:00:00"/>
    <d v="2024-05-17T00:00:00"/>
    <n v="144346.75200000001"/>
    <n v="4.26"/>
    <n v="4.2"/>
    <d v="2024-06-07T00:00:00"/>
    <x v="109"/>
    <n v="144346.75200000001"/>
    <s v="Standard"/>
    <n v="1"/>
    <n v="1"/>
    <n v="1"/>
    <x v="7"/>
    <x v="1"/>
    <n v="45413"/>
    <n v="614917.16352000006"/>
    <n v="606256.35840000003"/>
    <n v="8660.8051199999445"/>
  </r>
  <r>
    <x v="141"/>
    <s v="M14"/>
    <x v="13"/>
    <x v="7"/>
    <s v="kit"/>
    <s v="S13"/>
    <x v="10"/>
    <d v="2024-05-15T00:00:00"/>
    <d v="2024-05-16T00:00:00"/>
    <n v="19.2"/>
    <n v="6372.95"/>
    <n v="6200"/>
    <d v="2024-07-04T00:00:00"/>
    <x v="110"/>
    <n v="19.2"/>
    <s v="Standard"/>
    <n v="0"/>
    <n v="1"/>
    <n v="0"/>
    <x v="49"/>
    <x v="1"/>
    <n v="45413"/>
    <n v="122360.63999999998"/>
    <n v="119040"/>
    <n v="3320.6399999999962"/>
  </r>
  <r>
    <x v="142"/>
    <s v="M19"/>
    <x v="18"/>
    <x v="11"/>
    <s v="each"/>
    <s v="S17"/>
    <x v="14"/>
    <d v="2024-05-13T00:00:00"/>
    <d v="2024-05-18T00:00:00"/>
    <n v="2"/>
    <n v="65314.92"/>
    <n v="65000"/>
    <d v="2024-07-27T00:00:00"/>
    <x v="111"/>
    <n v="2"/>
    <s v="Standard"/>
    <n v="1"/>
    <n v="1"/>
    <n v="1"/>
    <x v="16"/>
    <x v="1"/>
    <n v="45413"/>
    <n v="130629.84"/>
    <n v="130000"/>
    <n v="629.83999999999651"/>
  </r>
  <r>
    <x v="143"/>
    <s v="M12"/>
    <x v="11"/>
    <x v="5"/>
    <s v="each"/>
    <s v="S11"/>
    <x v="8"/>
    <d v="2024-05-21T00:00:00"/>
    <d v="2024-05-23T00:00:00"/>
    <n v="17.28"/>
    <n v="9463.0499999999993"/>
    <n v="9500"/>
    <d v="2024-07-25T00:00:00"/>
    <x v="112"/>
    <n v="17.28"/>
    <s v="Standard"/>
    <n v="1"/>
    <n v="1"/>
    <n v="1"/>
    <x v="11"/>
    <x v="1"/>
    <n v="45413"/>
    <n v="163521.50399999999"/>
    <n v="164160"/>
    <n v="-638.4960000000126"/>
  </r>
  <r>
    <x v="144"/>
    <s v="M20"/>
    <x v="19"/>
    <x v="12"/>
    <s v="kit"/>
    <s v="S18"/>
    <x v="15"/>
    <d v="2024-05-20T00:00:00"/>
    <d v="2024-05-22T00:00:00"/>
    <n v="66769.099000000002"/>
    <n v="6.52"/>
    <n v="6.5"/>
    <d v="2024-07-17T00:00:00"/>
    <x v="113"/>
    <n v="66769.099000000002"/>
    <s v="Standard"/>
    <n v="1"/>
    <n v="1"/>
    <n v="1"/>
    <x v="38"/>
    <x v="1"/>
    <n v="45413"/>
    <n v="435334.52548000001"/>
    <n v="433999.14350000001"/>
    <n v="1335.3819799999715"/>
  </r>
  <r>
    <x v="145"/>
    <s v="M09"/>
    <x v="8"/>
    <x v="2"/>
    <s v="liter"/>
    <s v="S09"/>
    <x v="6"/>
    <d v="2024-05-27T00:00:00"/>
    <d v="2024-05-29T00:00:00"/>
    <n v="60043.406000000003"/>
    <n v="6.87"/>
    <n v="6.8"/>
    <d v="2024-06-19T00:00:00"/>
    <x v="114"/>
    <n v="60043.406000000003"/>
    <s v="Standard"/>
    <n v="0"/>
    <n v="1"/>
    <n v="0"/>
    <x v="43"/>
    <x v="1"/>
    <n v="45413"/>
    <n v="412498.19922000001"/>
    <n v="408295.16080000001"/>
    <n v="4203.0384200000171"/>
  </r>
  <r>
    <x v="146"/>
    <s v="M13"/>
    <x v="12"/>
    <x v="6"/>
    <s v="kg"/>
    <s v="S12"/>
    <x v="9"/>
    <d v="2024-05-27T00:00:00"/>
    <d v="2024-05-28T00:00:00"/>
    <n v="96.055999999999997"/>
    <n v="3927.22"/>
    <n v="3900"/>
    <d v="2024-08-06T00:00:00"/>
    <x v="115"/>
    <n v="96.055999999999997"/>
    <s v="Standard"/>
    <n v="1"/>
    <n v="1"/>
    <n v="1"/>
    <x v="16"/>
    <x v="1"/>
    <n v="45413"/>
    <n v="377233.04431999999"/>
    <n v="374618.39999999997"/>
    <n v="2614.6443199999808"/>
  </r>
  <r>
    <x v="147"/>
    <s v="M02"/>
    <x v="1"/>
    <x v="1"/>
    <s v="liter"/>
    <s v="S03"/>
    <x v="1"/>
    <d v="2024-06-04T00:00:00"/>
    <d v="2024-06-06T00:00:00"/>
    <n v="843.29899999999998"/>
    <n v="2439.96"/>
    <n v="2400"/>
    <d v="2024-08-15T00:00:00"/>
    <x v="116"/>
    <n v="843.29899999999998"/>
    <s v="Standard"/>
    <n v="1"/>
    <n v="1"/>
    <n v="1"/>
    <x v="21"/>
    <x v="1"/>
    <n v="45444"/>
    <n v="2057615.8280400001"/>
    <n v="2023917.5999999999"/>
    <n v="33698.228040000031"/>
  </r>
  <r>
    <x v="148"/>
    <s v="M03"/>
    <x v="2"/>
    <x v="2"/>
    <s v="liter"/>
    <s v="S06"/>
    <x v="2"/>
    <d v="2024-06-03T00:00:00"/>
    <d v="2024-06-04T00:00:00"/>
    <n v="43202.328000000001"/>
    <n v="9.5299999999999994"/>
    <n v="9.5"/>
    <d v="2024-06-25T00:00:00"/>
    <x v="114"/>
    <n v="43202.328000000001"/>
    <s v="Standard"/>
    <n v="1"/>
    <n v="1"/>
    <n v="1"/>
    <x v="22"/>
    <x v="1"/>
    <n v="45444"/>
    <n v="411718.18583999999"/>
    <n v="410422.11600000004"/>
    <n v="1296.0698399999724"/>
  </r>
  <r>
    <x v="149"/>
    <s v="M04"/>
    <x v="3"/>
    <x v="3"/>
    <s v="cylinder"/>
    <s v="S05"/>
    <x v="3"/>
    <d v="2024-06-03T00:00:00"/>
    <d v="2024-06-05T00:00:00"/>
    <n v="144.57499999999999"/>
    <n v="1888.22"/>
    <n v="1850"/>
    <d v="2024-07-31T00:00:00"/>
    <x v="117"/>
    <n v="144.57499999999999"/>
    <s v="Standard"/>
    <n v="1"/>
    <n v="1"/>
    <n v="1"/>
    <x v="17"/>
    <x v="1"/>
    <n v="45444"/>
    <n v="272989.40649999998"/>
    <n v="267463.75"/>
    <n v="5525.6565000000037"/>
  </r>
  <r>
    <x v="150"/>
    <s v="M17"/>
    <x v="16"/>
    <x v="10"/>
    <s v="meter"/>
    <s v="S16"/>
    <x v="13"/>
    <d v="2024-06-05T00:00:00"/>
    <d v="2024-06-08T00:00:00"/>
    <n v="15677301.205"/>
    <n v="4.1000000000000003E-3"/>
    <n v="4.0000000000000001E-3"/>
    <d v="2024-07-13T00:00:00"/>
    <x v="118"/>
    <n v="15677301.205"/>
    <s v="Standard"/>
    <n v="1"/>
    <n v="1"/>
    <n v="1"/>
    <x v="9"/>
    <x v="1"/>
    <n v="45444"/>
    <n v="64276.934940500003"/>
    <n v="62709.204819999999"/>
    <n v="1567.7301205000042"/>
  </r>
  <r>
    <x v="151"/>
    <s v="M18"/>
    <x v="17"/>
    <x v="10"/>
    <s v="gram"/>
    <s v="S16"/>
    <x v="13"/>
    <d v="2024-06-03T00:00:00"/>
    <d v="2024-06-07T00:00:00"/>
    <n v="9131677.0350000001"/>
    <n v="2.06E-2"/>
    <n v="0.02"/>
    <d v="2024-07-12T00:00:00"/>
    <x v="82"/>
    <n v="9131677.0350000001"/>
    <s v="Standard"/>
    <n v="1"/>
    <n v="1"/>
    <n v="1"/>
    <x v="9"/>
    <x v="1"/>
    <n v="45444"/>
    <n v="188112.546921"/>
    <n v="182633.54070000001"/>
    <n v="5479.0062209999987"/>
  </r>
  <r>
    <x v="152"/>
    <s v="M21"/>
    <x v="20"/>
    <x v="13"/>
    <s v="each"/>
    <s v="S19"/>
    <x v="16"/>
    <d v="2024-06-05T00:00:00"/>
    <d v="2024-06-07T00:00:00"/>
    <n v="26181350.603999998"/>
    <n v="1.2E-2"/>
    <n v="1.2E-2"/>
    <d v="2024-06-21T00:00:00"/>
    <x v="119"/>
    <n v="26181350.603999998"/>
    <s v="Standard"/>
    <n v="1"/>
    <n v="1"/>
    <n v="1"/>
    <x v="40"/>
    <x v="1"/>
    <n v="45444"/>
    <n v="314176.20724799996"/>
    <n v="314176.20724799996"/>
    <n v="0"/>
  </r>
  <r>
    <x v="153"/>
    <s v="M10"/>
    <x v="9"/>
    <x v="4"/>
    <s v="liter"/>
    <s v="S10"/>
    <x v="7"/>
    <d v="2024-06-12T00:00:00"/>
    <d v="2024-06-13T00:00:00"/>
    <n v="14423.37"/>
    <n v="38.67"/>
    <n v="38"/>
    <d v="2024-07-18T00:00:00"/>
    <x v="120"/>
    <n v="14423.37"/>
    <s v="Standard"/>
    <n v="1"/>
    <n v="1"/>
    <n v="1"/>
    <x v="15"/>
    <x v="1"/>
    <n v="45444"/>
    <n v="557751.71790000005"/>
    <n v="548088.06000000006"/>
    <n v="9663.6579000000256"/>
  </r>
  <r>
    <x v="154"/>
    <s v="M11"/>
    <x v="10"/>
    <x v="4"/>
    <s v="each"/>
    <s v="S10"/>
    <x v="7"/>
    <d v="2024-06-12T00:00:00"/>
    <d v="2024-06-14T00:00:00"/>
    <n v="288.07900000000001"/>
    <n v="519.22"/>
    <n v="520"/>
    <d v="2024-07-19T00:00:00"/>
    <x v="121"/>
    <n v="288.07900000000001"/>
    <s v="Standard"/>
    <n v="1"/>
    <n v="1"/>
    <n v="1"/>
    <x v="15"/>
    <x v="1"/>
    <n v="45444"/>
    <n v="149576.37838000001"/>
    <n v="149801.08000000002"/>
    <n v="-224.70161999999215"/>
  </r>
  <r>
    <x v="155"/>
    <s v="M16"/>
    <x v="15"/>
    <x v="9"/>
    <s v="each"/>
    <s v="S15"/>
    <x v="12"/>
    <d v="2024-06-10T00:00:00"/>
    <d v="2024-06-13T00:00:00"/>
    <n v="26805745.890999999"/>
    <n v="0.1108"/>
    <n v="0.11"/>
    <d v="2024-08-22T00:00:00"/>
    <x v="122"/>
    <n v="26805745.890999999"/>
    <s v="Standard"/>
    <n v="1"/>
    <n v="1"/>
    <n v="1"/>
    <x v="1"/>
    <x v="1"/>
    <n v="45444"/>
    <n v="2970076.6447227998"/>
    <n v="2948632.04801"/>
    <n v="21444.59671279987"/>
  </r>
  <r>
    <x v="156"/>
    <s v="M19"/>
    <x v="18"/>
    <x v="11"/>
    <s v="each"/>
    <s v="S17"/>
    <x v="14"/>
    <d v="2024-06-11T00:00:00"/>
    <d v="2024-06-14T00:00:00"/>
    <n v="2"/>
    <n v="65572.41"/>
    <n v="65000"/>
    <d v="2024-08-23T00:00:00"/>
    <x v="123"/>
    <n v="2"/>
    <s v="Standard"/>
    <n v="0"/>
    <n v="1"/>
    <n v="0"/>
    <x v="50"/>
    <x v="1"/>
    <n v="45444"/>
    <n v="131144.82"/>
    <n v="130000"/>
    <n v="1144.820000000007"/>
  </r>
  <r>
    <x v="157"/>
    <s v="M05"/>
    <x v="4"/>
    <x v="3"/>
    <s v="kg"/>
    <s v="S07"/>
    <x v="4"/>
    <d v="2024-06-17T00:00:00"/>
    <d v="2024-06-18T00:00:00"/>
    <n v="21611.284"/>
    <n v="28.37"/>
    <n v="28"/>
    <d v="2024-07-30T00:00:00"/>
    <x v="111"/>
    <n v="21611.284"/>
    <s v="Standard"/>
    <n v="1"/>
    <n v="1"/>
    <n v="1"/>
    <x v="0"/>
    <x v="1"/>
    <n v="45444"/>
    <n v="613112.12708000001"/>
    <n v="605115.95200000005"/>
    <n v="7996.1750800000218"/>
  </r>
  <r>
    <x v="158"/>
    <s v="M08"/>
    <x v="7"/>
    <x v="2"/>
    <s v="liter"/>
    <s v="S06"/>
    <x v="2"/>
    <d v="2024-06-18T00:00:00"/>
    <d v="2024-06-21T00:00:00"/>
    <n v="144158.66899999999"/>
    <n v="4.2300000000000004"/>
    <n v="4.2"/>
    <d v="2024-07-12T00:00:00"/>
    <x v="118"/>
    <n v="144158.66899999999"/>
    <s v="Standard"/>
    <n v="1"/>
    <n v="1"/>
    <n v="1"/>
    <x v="22"/>
    <x v="1"/>
    <n v="45444"/>
    <n v="609791.16986999998"/>
    <n v="605466.40980000002"/>
    <n v="4324.7600700000357"/>
  </r>
  <r>
    <x v="159"/>
    <s v="M15"/>
    <x v="14"/>
    <x v="8"/>
    <s v="kit"/>
    <s v="S14"/>
    <x v="11"/>
    <d v="2024-06-17T00:00:00"/>
    <d v="2024-06-21T00:00:00"/>
    <n v="4.0250000000000004"/>
    <n v="48506.04"/>
    <n v="48000"/>
    <d v="2024-10-25T00:00:00"/>
    <x v="124"/>
    <n v="4.0250000000000004"/>
    <s v="Standard"/>
    <n v="1"/>
    <n v="1"/>
    <n v="1"/>
    <x v="51"/>
    <x v="1"/>
    <n v="45444"/>
    <n v="195236.81100000002"/>
    <n v="193200.00000000003"/>
    <n v="2036.8110000000038"/>
  </r>
  <r>
    <x v="160"/>
    <s v="M01"/>
    <x v="0"/>
    <x v="0"/>
    <s v="wafer"/>
    <s v="S02"/>
    <x v="17"/>
    <d v="2024-06-25T00:00:00"/>
    <d v="2024-06-29T00:00:00"/>
    <n v="28792.212"/>
    <n v="121.67"/>
    <n v="118"/>
    <d v="2024-08-10T00:00:00"/>
    <x v="125"/>
    <n v="25697.64"/>
    <s v="Standard"/>
    <n v="1"/>
    <n v="0"/>
    <n v="0"/>
    <x v="5"/>
    <x v="1"/>
    <n v="45444"/>
    <n v="3126631.8588"/>
    <n v="3032321.52"/>
    <n v="94310.338800000041"/>
  </r>
  <r>
    <x v="161"/>
    <s v="M06"/>
    <x v="5"/>
    <x v="3"/>
    <s v="kg"/>
    <s v="S07"/>
    <x v="4"/>
    <d v="2024-06-25T00:00:00"/>
    <d v="2024-06-26T00:00:00"/>
    <n v="2303.4969999999998"/>
    <n v="413.56"/>
    <n v="410"/>
    <d v="2024-08-07T00:00:00"/>
    <x v="126"/>
    <n v="2303.4969999999998"/>
    <s v="Standard"/>
    <n v="1"/>
    <n v="1"/>
    <n v="1"/>
    <x v="0"/>
    <x v="1"/>
    <n v="45444"/>
    <n v="952634.21931999992"/>
    <n v="944433.7699999999"/>
    <n v="8200.4493200000052"/>
  </r>
  <r>
    <x v="162"/>
    <s v="M07"/>
    <x v="6"/>
    <x v="3"/>
    <s v="kg"/>
    <s v="S08"/>
    <x v="5"/>
    <d v="2024-06-25T00:00:00"/>
    <d v="2024-06-30T00:00:00"/>
    <n v="3455.6770000000001"/>
    <n v="159.34"/>
    <n v="160"/>
    <d v="2024-07-28T00:00:00"/>
    <x v="127"/>
    <n v="3455.6770000000001"/>
    <s v="Standard"/>
    <n v="1"/>
    <n v="1"/>
    <n v="1"/>
    <x v="6"/>
    <x v="1"/>
    <n v="45444"/>
    <n v="550627.57318000006"/>
    <n v="552908.32000000007"/>
    <n v="-2280.7468199999885"/>
  </r>
  <r>
    <x v="163"/>
    <s v="M14"/>
    <x v="13"/>
    <x v="7"/>
    <s v="kit"/>
    <s v="S13"/>
    <x v="10"/>
    <d v="2024-06-25T00:00:00"/>
    <d v="2024-06-27T00:00:00"/>
    <n v="23.02"/>
    <n v="6336.48"/>
    <n v="6200"/>
    <d v="2024-08-15T00:00:00"/>
    <x v="128"/>
    <n v="23.02"/>
    <s v="Standard"/>
    <n v="1"/>
    <n v="1"/>
    <n v="1"/>
    <x v="13"/>
    <x v="1"/>
    <n v="45444"/>
    <n v="145865.7696"/>
    <n v="142724"/>
    <n v="3141.7695999999901"/>
  </r>
  <r>
    <x v="164"/>
    <s v="M20"/>
    <x v="19"/>
    <x v="12"/>
    <s v="kit"/>
    <s v="S18"/>
    <x v="15"/>
    <d v="2024-06-25T00:00:00"/>
    <d v="2024-06-28T00:00:00"/>
    <n v="73526.2"/>
    <n v="6.6"/>
    <n v="6.5"/>
    <d v="2024-08-23T00:00:00"/>
    <x v="129"/>
    <n v="73526.2"/>
    <s v="Standard"/>
    <n v="1"/>
    <n v="1"/>
    <n v="1"/>
    <x v="23"/>
    <x v="1"/>
    <n v="45444"/>
    <n v="485272.92"/>
    <n v="477920.3"/>
    <n v="7352.6199999999735"/>
  </r>
  <r>
    <x v="165"/>
    <s v="M12"/>
    <x v="11"/>
    <x v="5"/>
    <s v="each"/>
    <s v="S11"/>
    <x v="8"/>
    <d v="2024-07-03T00:00:00"/>
    <d v="2024-07-07T00:00:00"/>
    <n v="17.265000000000001"/>
    <n v="9703.7800000000007"/>
    <n v="9500"/>
    <d v="2024-09-08T00:00:00"/>
    <x v="130"/>
    <n v="17.265000000000001"/>
    <s v="Standard"/>
    <n v="1"/>
    <n v="1"/>
    <n v="1"/>
    <x v="35"/>
    <x v="1"/>
    <n v="45474"/>
    <n v="167535.7617"/>
    <n v="164017.5"/>
    <n v="3518.2617000000114"/>
  </r>
  <r>
    <x v="166"/>
    <s v="M04"/>
    <x v="3"/>
    <x v="3"/>
    <s v="cylinder"/>
    <s v="S05"/>
    <x v="3"/>
    <d v="2024-07-08T00:00:00"/>
    <d v="2024-07-10T00:00:00"/>
    <n v="145.31800000000001"/>
    <n v="1861.54"/>
    <n v="1850"/>
    <d v="2024-09-04T00:00:00"/>
    <x v="131"/>
    <n v="145.31800000000001"/>
    <s v="Standard"/>
    <n v="1"/>
    <n v="1"/>
    <n v="1"/>
    <x v="23"/>
    <x v="1"/>
    <n v="45474"/>
    <n v="270515.26972000004"/>
    <n v="268838.30000000005"/>
    <n v="1676.9697199999948"/>
  </r>
  <r>
    <x v="167"/>
    <s v="M09"/>
    <x v="8"/>
    <x v="2"/>
    <s v="liter"/>
    <s v="S09"/>
    <x v="6"/>
    <d v="2024-07-09T00:00:00"/>
    <d v="2024-07-14T00:00:00"/>
    <n v="71997.441999999995"/>
    <n v="6.88"/>
    <n v="6.8"/>
    <d v="2024-08-04T00:00:00"/>
    <x v="132"/>
    <n v="71997.441999999995"/>
    <s v="Standard"/>
    <n v="0"/>
    <n v="1"/>
    <n v="0"/>
    <x v="47"/>
    <x v="1"/>
    <n v="45474"/>
    <n v="495342.40095999994"/>
    <n v="489582.60559999995"/>
    <n v="5759.7953600000046"/>
  </r>
  <r>
    <x v="168"/>
    <s v="M13"/>
    <x v="12"/>
    <x v="6"/>
    <s v="kg"/>
    <s v="S12"/>
    <x v="9"/>
    <d v="2024-07-09T00:00:00"/>
    <d v="2024-07-11T00:00:00"/>
    <n v="115.157"/>
    <n v="3961.7"/>
    <n v="3900"/>
    <d v="2024-09-19T00:00:00"/>
    <x v="133"/>
    <n v="115.157"/>
    <s v="Standard"/>
    <n v="1"/>
    <n v="1"/>
    <n v="1"/>
    <x v="21"/>
    <x v="1"/>
    <n v="45474"/>
    <n v="456217.48689999996"/>
    <n v="449112.3"/>
    <n v="7105.1868999999788"/>
  </r>
  <r>
    <x v="169"/>
    <s v="M17"/>
    <x v="16"/>
    <x v="10"/>
    <s v="meter"/>
    <s v="S16"/>
    <x v="13"/>
    <d v="2024-07-10T00:00:00"/>
    <d v="2024-07-13T00:00:00"/>
    <n v="15045192.352"/>
    <n v="4.1000000000000003E-3"/>
    <n v="4.0000000000000001E-3"/>
    <d v="2024-08-17T00:00:00"/>
    <x v="134"/>
    <n v="15045192.352"/>
    <s v="Standard"/>
    <n v="1"/>
    <n v="1"/>
    <n v="1"/>
    <x v="28"/>
    <x v="1"/>
    <n v="45474"/>
    <n v="61685.288643200001"/>
    <n v="60180.769408"/>
    <n v="1504.519235200004"/>
  </r>
  <r>
    <x v="170"/>
    <s v="M18"/>
    <x v="17"/>
    <x v="10"/>
    <s v="gram"/>
    <s v="S16"/>
    <x v="13"/>
    <d v="2024-07-09T00:00:00"/>
    <d v="2024-07-15T00:00:00"/>
    <n v="8779903.1740000006"/>
    <n v="0.02"/>
    <n v="0.02"/>
    <d v="2024-08-19T00:00:00"/>
    <x v="135"/>
    <n v="8779903.1740000006"/>
    <s v="Standard"/>
    <n v="1"/>
    <n v="1"/>
    <n v="1"/>
    <x v="9"/>
    <x v="1"/>
    <n v="45474"/>
    <n v="175598.06348000001"/>
    <n v="175598.06348000001"/>
    <n v="0"/>
  </r>
  <r>
    <x v="171"/>
    <s v="M21"/>
    <x v="20"/>
    <x v="13"/>
    <s v="each"/>
    <s v="S19"/>
    <x v="16"/>
    <d v="2024-07-09T00:00:00"/>
    <d v="2024-07-12T00:00:00"/>
    <n v="25125656.653999999"/>
    <n v="1.21E-2"/>
    <n v="1.2E-2"/>
    <d v="2024-07-26T00:00:00"/>
    <x v="127"/>
    <n v="25125656.653999999"/>
    <s v="Standard"/>
    <n v="1"/>
    <n v="1"/>
    <n v="1"/>
    <x v="20"/>
    <x v="1"/>
    <n v="45474"/>
    <n v="304020.44551339996"/>
    <n v="301507.87984800001"/>
    <n v="2512.5656653999849"/>
  </r>
  <r>
    <x v="172"/>
    <s v="M02"/>
    <x v="1"/>
    <x v="1"/>
    <s v="liter"/>
    <s v="S03"/>
    <x v="1"/>
    <d v="2024-07-17T00:00:00"/>
    <d v="2024-07-19T00:00:00"/>
    <n v="1007.125"/>
    <n v="2435.1999999999998"/>
    <n v="2400"/>
    <d v="2024-09-27T00:00:00"/>
    <x v="136"/>
    <n v="1007.125"/>
    <s v="Standard"/>
    <n v="1"/>
    <n v="1"/>
    <n v="1"/>
    <x v="21"/>
    <x v="1"/>
    <n v="45474"/>
    <n v="2452550.7999999998"/>
    <n v="2417100"/>
    <n v="35450.799999999814"/>
  </r>
  <r>
    <x v="173"/>
    <s v="M03"/>
    <x v="2"/>
    <x v="2"/>
    <s v="liter"/>
    <s v="S06"/>
    <x v="2"/>
    <d v="2024-07-16T00:00:00"/>
    <d v="2024-07-19T00:00:00"/>
    <n v="51810.536999999997"/>
    <n v="9.76"/>
    <n v="9.5"/>
    <d v="2024-08-09T00:00:00"/>
    <x v="115"/>
    <n v="51810.536999999997"/>
    <s v="Standard"/>
    <n v="1"/>
    <n v="1"/>
    <n v="1"/>
    <x v="2"/>
    <x v="1"/>
    <n v="45474"/>
    <n v="505670.84111999994"/>
    <n v="492200.10149999999"/>
    <n v="13470.739619999988"/>
  </r>
  <r>
    <x v="174"/>
    <s v="M10"/>
    <x v="9"/>
    <x v="4"/>
    <s v="liter"/>
    <s v="S10"/>
    <x v="7"/>
    <d v="2024-07-16T00:00:00"/>
    <d v="2024-07-19T00:00:00"/>
    <n v="14421.433999999999"/>
    <n v="38.950000000000003"/>
    <n v="38"/>
    <d v="2024-08-23T00:00:00"/>
    <x v="122"/>
    <n v="14421.433999999999"/>
    <s v="Standard"/>
    <n v="1"/>
    <n v="1"/>
    <n v="1"/>
    <x v="10"/>
    <x v="1"/>
    <n v="45474"/>
    <n v="561714.85430000001"/>
    <n v="548014.49199999997"/>
    <n v="13700.362300000041"/>
  </r>
  <r>
    <x v="175"/>
    <s v="M16"/>
    <x v="15"/>
    <x v="9"/>
    <s v="each"/>
    <s v="S15"/>
    <x v="12"/>
    <d v="2024-07-15T00:00:00"/>
    <d v="2024-07-17T00:00:00"/>
    <n v="24366956.179000001"/>
    <n v="0.1116"/>
    <n v="0.11"/>
    <d v="2024-09-25T00:00:00"/>
    <x v="137"/>
    <n v="24366956.179000001"/>
    <s v="Standard"/>
    <n v="1"/>
    <n v="1"/>
    <n v="1"/>
    <x v="16"/>
    <x v="1"/>
    <n v="45474"/>
    <n v="2719352.3095764001"/>
    <n v="2680365.1796900001"/>
    <n v="38987.129886400107"/>
  </r>
  <r>
    <x v="176"/>
    <s v="M05"/>
    <x v="4"/>
    <x v="3"/>
    <s v="kg"/>
    <s v="S07"/>
    <x v="4"/>
    <d v="2024-07-22T00:00:00"/>
    <d v="2024-07-26T00:00:00"/>
    <n v="24108.215"/>
    <n v="28.31"/>
    <n v="28"/>
    <d v="2024-09-06T00:00:00"/>
    <x v="131"/>
    <n v="24108.215"/>
    <s v="Standard"/>
    <n v="1"/>
    <n v="1"/>
    <n v="1"/>
    <x v="0"/>
    <x v="1"/>
    <n v="45474"/>
    <n v="682503.56664999994"/>
    <n v="675030.02"/>
    <n v="7473.5466499999693"/>
  </r>
  <r>
    <x v="177"/>
    <s v="M11"/>
    <x v="10"/>
    <x v="4"/>
    <s v="each"/>
    <s v="S10"/>
    <x v="7"/>
    <d v="2024-07-24T00:00:00"/>
    <d v="2024-07-27T00:00:00"/>
    <n v="345.04199999999997"/>
    <n v="533.54999999999995"/>
    <n v="520"/>
    <d v="2024-08-31T00:00:00"/>
    <x v="138"/>
    <n v="345.04199999999997"/>
    <s v="Standard"/>
    <n v="1"/>
    <n v="1"/>
    <n v="1"/>
    <x v="9"/>
    <x v="1"/>
    <n v="45474"/>
    <n v="184097.15909999996"/>
    <n v="179421.84"/>
    <n v="4675.3190999999842"/>
  </r>
  <r>
    <x v="178"/>
    <s v="M15"/>
    <x v="14"/>
    <x v="8"/>
    <s v="kit"/>
    <s v="S14"/>
    <x v="11"/>
    <d v="2024-07-23T00:00:00"/>
    <d v="2024-07-25T00:00:00"/>
    <n v="3"/>
    <n v="49791.91"/>
    <n v="48000"/>
    <d v="2024-11-28T00:00:00"/>
    <x v="139"/>
    <n v="2.7909999999999999"/>
    <s v="Standard"/>
    <n v="1"/>
    <n v="0"/>
    <n v="0"/>
    <x v="51"/>
    <x v="1"/>
    <n v="45474"/>
    <n v="138969.22081"/>
    <n v="133968"/>
    <n v="5001.2208100000098"/>
  </r>
  <r>
    <x v="179"/>
    <s v="M06"/>
    <x v="5"/>
    <x v="3"/>
    <s v="kg"/>
    <s v="S07"/>
    <x v="4"/>
    <d v="2024-07-29T00:00:00"/>
    <d v="2024-08-01T00:00:00"/>
    <n v="1924.7270000000001"/>
    <n v="416.17"/>
    <n v="410"/>
    <d v="2024-09-12T00:00:00"/>
    <x v="140"/>
    <n v="1924.7270000000001"/>
    <s v="Standard"/>
    <n v="1"/>
    <n v="1"/>
    <n v="1"/>
    <x v="0"/>
    <x v="1"/>
    <n v="45505"/>
    <n v="801013.63559000008"/>
    <n v="789138.07000000007"/>
    <n v="11875.565590000031"/>
  </r>
  <r>
    <x v="180"/>
    <s v="M08"/>
    <x v="7"/>
    <x v="2"/>
    <s v="liter"/>
    <s v="S06"/>
    <x v="2"/>
    <d v="2024-07-31T00:00:00"/>
    <d v="2024-08-06T00:00:00"/>
    <n v="172525.84"/>
    <n v="4.37"/>
    <n v="4.2"/>
    <d v="2024-08-27T00:00:00"/>
    <x v="123"/>
    <n v="172525.84"/>
    <s v="Standard"/>
    <n v="1"/>
    <n v="1"/>
    <n v="1"/>
    <x v="8"/>
    <x v="1"/>
    <n v="45505"/>
    <n v="753937.92079999996"/>
    <n v="724608.52800000005"/>
    <n v="29329.392799999987"/>
  </r>
  <r>
    <x v="181"/>
    <s v="M20"/>
    <x v="19"/>
    <x v="12"/>
    <s v="kit"/>
    <s v="S18"/>
    <x v="15"/>
    <d v="2024-07-29T00:00:00"/>
    <d v="2024-08-03T00:00:00"/>
    <n v="70033.728000000003"/>
    <n v="6.61"/>
    <n v="6.5"/>
    <d v="2024-09-28T00:00:00"/>
    <x v="136"/>
    <n v="70033.728000000003"/>
    <s v="Standard"/>
    <n v="1"/>
    <n v="1"/>
    <n v="1"/>
    <x v="38"/>
    <x v="1"/>
    <n v="45505"/>
    <n v="462922.94208000007"/>
    <n v="455219.23200000002"/>
    <n v="7703.7100800000226"/>
  </r>
  <r>
    <x v="182"/>
    <s v="M01"/>
    <x v="0"/>
    <x v="0"/>
    <s v="wafer"/>
    <s v="S01"/>
    <x v="0"/>
    <d v="2024-08-05T00:00:00"/>
    <d v="2024-08-06T00:00:00"/>
    <n v="31906.238000000001"/>
    <n v="124.51"/>
    <n v="118"/>
    <d v="2024-09-17T00:00:00"/>
    <x v="141"/>
    <n v="31906.238000000001"/>
    <s v="Standard"/>
    <n v="0"/>
    <n v="1"/>
    <n v="0"/>
    <x v="13"/>
    <x v="1"/>
    <n v="45505"/>
    <n v="3972645.6933800005"/>
    <n v="3764936.0840000003"/>
    <n v="207709.60938000018"/>
  </r>
  <r>
    <x v="183"/>
    <s v="M07"/>
    <x v="6"/>
    <x v="3"/>
    <s v="kg"/>
    <s v="S08"/>
    <x v="5"/>
    <d v="2024-08-06T00:00:00"/>
    <d v="2024-08-08T00:00:00"/>
    <n v="3451.7570000000001"/>
    <n v="158.88"/>
    <n v="160"/>
    <d v="2024-09-05T00:00:00"/>
    <x v="131"/>
    <n v="3451.7570000000001"/>
    <s v="Standard"/>
    <n v="1"/>
    <n v="1"/>
    <n v="1"/>
    <x v="24"/>
    <x v="1"/>
    <n v="45505"/>
    <n v="548415.15215999994"/>
    <n v="552281.12"/>
    <n v="-3865.9678400000157"/>
  </r>
  <r>
    <x v="184"/>
    <s v="M14"/>
    <x v="13"/>
    <x v="7"/>
    <s v="kit"/>
    <s v="S13"/>
    <x v="10"/>
    <d v="2024-08-06T00:00:00"/>
    <d v="2024-08-09T00:00:00"/>
    <n v="23"/>
    <n v="6262.12"/>
    <n v="6200"/>
    <d v="2024-09-27T00:00:00"/>
    <x v="136"/>
    <n v="23"/>
    <s v="Standard"/>
    <n v="1"/>
    <n v="1"/>
    <n v="1"/>
    <x v="36"/>
    <x v="1"/>
    <n v="45505"/>
    <n v="144028.76"/>
    <n v="142600"/>
    <n v="1428.7599999999975"/>
  </r>
  <r>
    <x v="185"/>
    <s v="M04"/>
    <x v="3"/>
    <x v="3"/>
    <s v="cylinder"/>
    <s v="S05"/>
    <x v="3"/>
    <d v="2024-08-14T00:00:00"/>
    <d v="2024-08-18T00:00:00"/>
    <n v="144.72200000000001"/>
    <n v="1871.61"/>
    <n v="1850"/>
    <d v="2024-10-13T00:00:00"/>
    <x v="142"/>
    <n v="144.72200000000001"/>
    <s v="Standard"/>
    <n v="1"/>
    <n v="1"/>
    <n v="1"/>
    <x v="38"/>
    <x v="1"/>
    <n v="45505"/>
    <n v="270863.14241999999"/>
    <n v="267735.7"/>
    <n v="3127.4424199999858"/>
  </r>
  <r>
    <x v="186"/>
    <s v="M12"/>
    <x v="11"/>
    <x v="5"/>
    <s v="each"/>
    <s v="S11"/>
    <x v="8"/>
    <d v="2024-08-12T00:00:00"/>
    <d v="2024-08-19T00:00:00"/>
    <n v="17.234999999999999"/>
    <n v="9645.6"/>
    <n v="9500"/>
    <d v="2024-10-21T00:00:00"/>
    <x v="143"/>
    <n v="17.234999999999999"/>
    <s v="Standard"/>
    <n v="1"/>
    <n v="1"/>
    <n v="1"/>
    <x v="11"/>
    <x v="1"/>
    <n v="45505"/>
    <n v="166241.916"/>
    <n v="163732.5"/>
    <n v="2509.4160000000061"/>
  </r>
  <r>
    <x v="187"/>
    <s v="M15"/>
    <x v="14"/>
    <x v="8"/>
    <s v="kit"/>
    <s v="S14"/>
    <x v="11"/>
    <d v="2024-08-13T00:00:00"/>
    <d v="2024-08-14T00:00:00"/>
    <n v="3"/>
    <n v="48841.36"/>
    <n v="48000"/>
    <d v="2024-12-18T00:00:00"/>
    <x v="144"/>
    <n v="3"/>
    <s v="Standard"/>
    <n v="1"/>
    <n v="1"/>
    <n v="1"/>
    <x v="14"/>
    <x v="1"/>
    <n v="45505"/>
    <n v="146524.08000000002"/>
    <n v="144000"/>
    <n v="2524.0800000000017"/>
  </r>
  <r>
    <x v="188"/>
    <s v="M17"/>
    <x v="16"/>
    <x v="10"/>
    <s v="meter"/>
    <s v="S16"/>
    <x v="13"/>
    <d v="2024-08-14T00:00:00"/>
    <d v="2024-08-16T00:00:00"/>
    <n v="14336298.893999999"/>
    <n v="4.0000000000000001E-3"/>
    <n v="4.0000000000000001E-3"/>
    <d v="2024-09-20T00:00:00"/>
    <x v="145"/>
    <n v="14336298.893999999"/>
    <s v="Standard"/>
    <n v="1"/>
    <n v="1"/>
    <n v="1"/>
    <x v="9"/>
    <x v="1"/>
    <n v="45505"/>
    <n v="57345.195575999998"/>
    <n v="57345.195575999998"/>
    <n v="0"/>
  </r>
  <r>
    <x v="189"/>
    <s v="M18"/>
    <x v="17"/>
    <x v="10"/>
    <s v="gram"/>
    <s v="S16"/>
    <x v="13"/>
    <d v="2024-08-14T00:00:00"/>
    <d v="2024-08-16T00:00:00"/>
    <n v="8349773.2539999997"/>
    <n v="2.0199999999999999E-2"/>
    <n v="0.02"/>
    <d v="2024-09-20T00:00:00"/>
    <x v="145"/>
    <n v="8349773.2539999997"/>
    <s v="Standard"/>
    <n v="1"/>
    <n v="1"/>
    <n v="1"/>
    <x v="9"/>
    <x v="1"/>
    <n v="45505"/>
    <n v="168665.4197308"/>
    <n v="166995.46507999999"/>
    <n v="1669.9546507999898"/>
  </r>
  <r>
    <x v="190"/>
    <s v="M21"/>
    <x v="20"/>
    <x v="13"/>
    <s v="each"/>
    <s v="S19"/>
    <x v="16"/>
    <d v="2024-08-13T00:00:00"/>
    <d v="2024-08-14T00:00:00"/>
    <n v="23915279.221000001"/>
    <n v="1.2200000000000001E-2"/>
    <n v="1.2E-2"/>
    <d v="2024-08-28T00:00:00"/>
    <x v="146"/>
    <n v="23915279.221000001"/>
    <s v="Standard"/>
    <n v="1"/>
    <n v="1"/>
    <n v="1"/>
    <x v="18"/>
    <x v="1"/>
    <n v="45505"/>
    <n v="291766.40649620001"/>
    <n v="286983.35065199999"/>
    <n v="4783.0558442000129"/>
  </r>
  <r>
    <x v="191"/>
    <s v="M09"/>
    <x v="8"/>
    <x v="2"/>
    <s v="liter"/>
    <s v="S09"/>
    <x v="6"/>
    <d v="2024-08-21T00:00:00"/>
    <d v="2024-08-23T00:00:00"/>
    <n v="65750"/>
    <n v="7.85"/>
    <n v="6.8"/>
    <d v="2024-09-06T00:00:00"/>
    <x v="147"/>
    <n v="65750"/>
    <s v="Expedite"/>
    <n v="1"/>
    <n v="1"/>
    <n v="1"/>
    <x v="18"/>
    <x v="1"/>
    <n v="45505"/>
    <n v="516137.5"/>
    <n v="447100"/>
    <n v="69037.499999999985"/>
  </r>
  <r>
    <x v="192"/>
    <s v="M13"/>
    <x v="12"/>
    <x v="6"/>
    <s v="kg"/>
    <s v="S12"/>
    <x v="9"/>
    <d v="2024-08-20T00:00:00"/>
    <d v="2024-08-22T00:00:00"/>
    <n v="105.327"/>
    <n v="3933.87"/>
    <n v="3900"/>
    <d v="2024-10-31T00:00:00"/>
    <x v="148"/>
    <n v="105.327"/>
    <s v="Standard"/>
    <n v="1"/>
    <n v="1"/>
    <n v="1"/>
    <x v="16"/>
    <x v="1"/>
    <n v="45505"/>
    <n v="414342.72548999998"/>
    <n v="410775.3"/>
    <n v="3567.4254899999883"/>
  </r>
  <r>
    <x v="193"/>
    <s v="M16"/>
    <x v="15"/>
    <x v="9"/>
    <s v="each"/>
    <s v="S15"/>
    <x v="12"/>
    <d v="2024-08-20T00:00:00"/>
    <d v="2024-08-24T00:00:00"/>
    <n v="25124969.208999999"/>
    <n v="0.10730000000000001"/>
    <n v="0.11"/>
    <d v="2024-11-02T00:00:00"/>
    <x v="149"/>
    <n v="25124969.208999999"/>
    <s v="Standard"/>
    <n v="1"/>
    <n v="1"/>
    <n v="1"/>
    <x v="21"/>
    <x v="1"/>
    <n v="45505"/>
    <n v="2695909.1961257001"/>
    <n v="2763746.6129899998"/>
    <n v="-67837.416864299841"/>
  </r>
  <r>
    <x v="194"/>
    <s v="M02"/>
    <x v="1"/>
    <x v="1"/>
    <s v="liter"/>
    <s v="S03"/>
    <x v="1"/>
    <d v="2024-08-26T00:00:00"/>
    <d v="2024-08-27T00:00:00"/>
    <n v="925.10299999999995"/>
    <n v="2453.64"/>
    <n v="2400"/>
    <d v="2024-11-05T00:00:00"/>
    <x v="150"/>
    <n v="370.041"/>
    <s v="Standard"/>
    <n v="0"/>
    <n v="0"/>
    <n v="0"/>
    <x v="48"/>
    <x v="1"/>
    <n v="45505"/>
    <n v="907947.39923999994"/>
    <n v="888098.4"/>
    <n v="19848.999239999954"/>
  </r>
  <r>
    <x v="195"/>
    <s v="M03"/>
    <x v="2"/>
    <x v="2"/>
    <s v="liter"/>
    <s v="S06"/>
    <x v="2"/>
    <d v="2024-08-28T00:00:00"/>
    <d v="2024-08-31T00:00:00"/>
    <n v="47355.025999999998"/>
    <n v="9.93"/>
    <n v="9.5"/>
    <d v="2024-09-21T00:00:00"/>
    <x v="151"/>
    <n v="47355.025999999998"/>
    <s v="Standard"/>
    <n v="1"/>
    <n v="1"/>
    <n v="1"/>
    <x v="7"/>
    <x v="1"/>
    <n v="45505"/>
    <n v="470235.40817999997"/>
    <n v="449872.74699999997"/>
    <n v="20362.661179999985"/>
  </r>
  <r>
    <x v="196"/>
    <s v="M10"/>
    <x v="9"/>
    <x v="4"/>
    <s v="liter"/>
    <s v="S10"/>
    <x v="7"/>
    <d v="2024-08-27T00:00:00"/>
    <d v="2024-08-29T00:00:00"/>
    <n v="15785.456"/>
    <n v="39.200000000000003"/>
    <n v="38"/>
    <d v="2024-10-03T00:00:00"/>
    <x v="152"/>
    <n v="15785.456"/>
    <s v="Standard"/>
    <n v="1"/>
    <n v="1"/>
    <n v="1"/>
    <x v="28"/>
    <x v="1"/>
    <n v="45505"/>
    <n v="618789.87520000001"/>
    <n v="599847.32799999998"/>
    <n v="18942.547200000045"/>
  </r>
  <r>
    <x v="197"/>
    <s v="M05"/>
    <x v="4"/>
    <x v="3"/>
    <s v="kg"/>
    <s v="S07"/>
    <x v="4"/>
    <d v="2024-09-02T00:00:00"/>
    <d v="2024-09-05T00:00:00"/>
    <n v="23681.396000000001"/>
    <n v="29.12"/>
    <n v="28"/>
    <d v="2024-10-17T00:00:00"/>
    <x v="153"/>
    <n v="23681.396000000001"/>
    <s v="Standard"/>
    <n v="1"/>
    <n v="1"/>
    <n v="1"/>
    <x v="4"/>
    <x v="1"/>
    <n v="45536"/>
    <n v="689602.25152000005"/>
    <n v="663079.08799999999"/>
    <n v="26523.163520000024"/>
  </r>
  <r>
    <x v="198"/>
    <s v="M11"/>
    <x v="10"/>
    <x v="4"/>
    <s v="each"/>
    <s v="S10"/>
    <x v="7"/>
    <d v="2024-09-02T00:00:00"/>
    <d v="2024-09-06T00:00:00"/>
    <n v="315.745"/>
    <n v="526.91999999999996"/>
    <n v="520"/>
    <d v="2024-10-11T00:00:00"/>
    <x v="154"/>
    <n v="315.745"/>
    <s v="Standard"/>
    <n v="1"/>
    <n v="1"/>
    <n v="1"/>
    <x v="15"/>
    <x v="1"/>
    <n v="45536"/>
    <n v="166372.3554"/>
    <n v="164187.4"/>
    <n v="2184.9553999999871"/>
  </r>
  <r>
    <x v="199"/>
    <s v="M20"/>
    <x v="19"/>
    <x v="12"/>
    <s v="kit"/>
    <s v="S18"/>
    <x v="15"/>
    <d v="2024-09-03T00:00:00"/>
    <d v="2024-09-07T00:00:00"/>
    <n v="68916.259000000005"/>
    <n v="6.63"/>
    <n v="6.5"/>
    <d v="2024-11-02T00:00:00"/>
    <x v="149"/>
    <n v="68916.259000000005"/>
    <s v="Standard"/>
    <n v="1"/>
    <n v="1"/>
    <n v="1"/>
    <x v="23"/>
    <x v="1"/>
    <n v="45536"/>
    <n v="456914.79717000003"/>
    <n v="447955.68350000004"/>
    <n v="8959.1136699999934"/>
  </r>
  <r>
    <x v="200"/>
    <s v="M06"/>
    <x v="5"/>
    <x v="3"/>
    <s v="kg"/>
    <s v="S07"/>
    <x v="4"/>
    <d v="2024-09-09T00:00:00"/>
    <d v="2024-09-13T00:00:00"/>
    <n v="2103.3470000000002"/>
    <n v="431.77"/>
    <n v="410"/>
    <d v="2024-10-25T00:00:00"/>
    <x v="155"/>
    <n v="2103.3470000000002"/>
    <s v="Standard"/>
    <n v="1"/>
    <n v="1"/>
    <n v="1"/>
    <x v="0"/>
    <x v="1"/>
    <n v="45536"/>
    <n v="908162.13419000001"/>
    <n v="862372.27000000014"/>
    <n v="45789.864189999964"/>
  </r>
  <r>
    <x v="201"/>
    <s v="M08"/>
    <x v="7"/>
    <x v="2"/>
    <s v="liter"/>
    <s v="S09"/>
    <x v="6"/>
    <d v="2024-09-11T00:00:00"/>
    <d v="2024-09-13T00:00:00"/>
    <n v="157928.43599999999"/>
    <n v="4.2"/>
    <n v="4.2"/>
    <d v="2024-10-04T00:00:00"/>
    <x v="152"/>
    <n v="157928.43599999999"/>
    <s v="Standard"/>
    <n v="1"/>
    <n v="1"/>
    <n v="1"/>
    <x v="7"/>
    <x v="1"/>
    <n v="45536"/>
    <n v="663299.43119999999"/>
    <n v="663299.43119999999"/>
    <n v="0"/>
  </r>
  <r>
    <x v="202"/>
    <s v="M01"/>
    <x v="0"/>
    <x v="0"/>
    <s v="wafer"/>
    <s v="S02"/>
    <x v="17"/>
    <d v="2024-09-18T00:00:00"/>
    <d v="2024-09-20T00:00:00"/>
    <n v="26290.108"/>
    <n v="117.02"/>
    <n v="118"/>
    <d v="2024-11-01T00:00:00"/>
    <x v="148"/>
    <n v="26290.108"/>
    <s v="Standard"/>
    <n v="1"/>
    <n v="1"/>
    <n v="1"/>
    <x v="4"/>
    <x v="1"/>
    <n v="45536"/>
    <n v="3076468.4381599999"/>
    <n v="3102232.7439999999"/>
    <n v="-25764.305840000106"/>
  </r>
  <r>
    <x v="203"/>
    <s v="M07"/>
    <x v="6"/>
    <x v="3"/>
    <s v="kg"/>
    <s v="S08"/>
    <x v="5"/>
    <d v="2024-09-17T00:00:00"/>
    <d v="2024-09-21T00:00:00"/>
    <n v="3153.7689999999998"/>
    <n v="161.08000000000001"/>
    <n v="160"/>
    <d v="2024-10-19T00:00:00"/>
    <x v="156"/>
    <n v="3153.7689999999998"/>
    <s v="Standard"/>
    <n v="1"/>
    <n v="1"/>
    <n v="1"/>
    <x v="24"/>
    <x v="1"/>
    <n v="45536"/>
    <n v="508009.11051999999"/>
    <n v="504603.04"/>
    <n v="3406.0705200000393"/>
  </r>
  <r>
    <x v="204"/>
    <s v="M14"/>
    <x v="13"/>
    <x v="7"/>
    <s v="kit"/>
    <s v="S13"/>
    <x v="10"/>
    <d v="2024-09-16T00:00:00"/>
    <d v="2024-09-19T00:00:00"/>
    <n v="21.02"/>
    <n v="6374.9"/>
    <n v="6200"/>
    <d v="2024-11-07T00:00:00"/>
    <x v="157"/>
    <n v="21.02"/>
    <s v="Standard"/>
    <n v="1"/>
    <n v="1"/>
    <n v="1"/>
    <x v="47"/>
    <x v="1"/>
    <n v="45536"/>
    <n v="134000.39799999999"/>
    <n v="130324"/>
    <n v="3676.3979999999924"/>
  </r>
  <r>
    <x v="205"/>
    <s v="M17"/>
    <x v="16"/>
    <x v="10"/>
    <s v="meter"/>
    <s v="S16"/>
    <x v="13"/>
    <d v="2024-09-18T00:00:00"/>
    <d v="2024-09-23T00:00:00"/>
    <n v="14714510.512"/>
    <n v="4.1999999999999997E-3"/>
    <n v="4.0000000000000001E-3"/>
    <d v="2024-10-28T00:00:00"/>
    <x v="158"/>
    <n v="14714510.512"/>
    <s v="Standard"/>
    <n v="0"/>
    <n v="1"/>
    <n v="0"/>
    <x v="42"/>
    <x v="1"/>
    <n v="45536"/>
    <n v="61800.944150399999"/>
    <n v="58858.042048000003"/>
    <n v="2942.9021023999949"/>
  </r>
  <r>
    <x v="206"/>
    <s v="M18"/>
    <x v="17"/>
    <x v="10"/>
    <s v="gram"/>
    <s v="S16"/>
    <x v="13"/>
    <d v="2024-09-16T00:00:00"/>
    <d v="2024-09-18T00:00:00"/>
    <n v="8577172.7770000007"/>
    <n v="2.0400000000000001E-2"/>
    <n v="0.02"/>
    <d v="2024-10-23T00:00:00"/>
    <x v="159"/>
    <n v="8577172.7770000007"/>
    <s v="Standard"/>
    <n v="0"/>
    <n v="1"/>
    <n v="0"/>
    <x v="4"/>
    <x v="1"/>
    <n v="45536"/>
    <n v="174974.32465080003"/>
    <n v="171543.45554000002"/>
    <n v="3430.8691108000094"/>
  </r>
  <r>
    <x v="207"/>
    <s v="M21"/>
    <x v="20"/>
    <x v="13"/>
    <s v="each"/>
    <s v="S19"/>
    <x v="16"/>
    <d v="2024-09-17T00:00:00"/>
    <d v="2024-09-20T00:00:00"/>
    <n v="24570979.921999998"/>
    <n v="1.23E-2"/>
    <n v="1.2E-2"/>
    <d v="2024-10-04T00:00:00"/>
    <x v="160"/>
    <n v="24570979.921999998"/>
    <s v="Standard"/>
    <n v="1"/>
    <n v="1"/>
    <n v="1"/>
    <x v="41"/>
    <x v="1"/>
    <n v="45536"/>
    <n v="302223.05304059997"/>
    <n v="294851.75906399998"/>
    <n v="7371.2939765999972"/>
  </r>
  <r>
    <x v="208"/>
    <s v="M04"/>
    <x v="3"/>
    <x v="3"/>
    <s v="cylinder"/>
    <s v="S05"/>
    <x v="3"/>
    <d v="2024-09-24T00:00:00"/>
    <d v="2024-09-30T00:00:00"/>
    <n v="157.85499999999999"/>
    <n v="1914.82"/>
    <n v="1850"/>
    <d v="2024-11-25T00:00:00"/>
    <x v="161"/>
    <n v="157.85499999999999"/>
    <s v="Standard"/>
    <n v="1"/>
    <n v="1"/>
    <n v="1"/>
    <x v="23"/>
    <x v="1"/>
    <n v="45536"/>
    <n v="302263.91109999997"/>
    <n v="292031.75"/>
    <n v="10232.161099999988"/>
  </r>
  <r>
    <x v="209"/>
    <s v="M12"/>
    <x v="11"/>
    <x v="5"/>
    <s v="each"/>
    <s v="S11"/>
    <x v="8"/>
    <d v="2024-09-25T00:00:00"/>
    <d v="2024-09-30T00:00:00"/>
    <n v="15.78"/>
    <n v="9681.2999999999993"/>
    <n v="9500"/>
    <d v="2024-12-02T00:00:00"/>
    <x v="162"/>
    <n v="15.78"/>
    <s v="Standard"/>
    <n v="1"/>
    <n v="1"/>
    <n v="1"/>
    <x v="35"/>
    <x v="1"/>
    <n v="45536"/>
    <n v="152770.91399999999"/>
    <n v="149910"/>
    <n v="2860.9139999999884"/>
  </r>
  <r>
    <x v="210"/>
    <s v="M15"/>
    <x v="14"/>
    <x v="8"/>
    <s v="kit"/>
    <s v="S14"/>
    <x v="11"/>
    <d v="2024-09-25T00:00:00"/>
    <d v="2024-09-29T00:00:00"/>
    <n v="4.55"/>
    <n v="54905.3"/>
    <n v="48000"/>
    <d v="2024-11-10T00:00:00"/>
    <x v="163"/>
    <n v="4.55"/>
    <s v="Expedite"/>
    <n v="1"/>
    <n v="1"/>
    <n v="1"/>
    <x v="5"/>
    <x v="1"/>
    <n v="45536"/>
    <n v="249819.11499999999"/>
    <n v="218400"/>
    <n v="31419.115000000013"/>
  </r>
  <r>
    <x v="211"/>
    <s v="M16"/>
    <x v="15"/>
    <x v="9"/>
    <s v="each"/>
    <s v="S15"/>
    <x v="12"/>
    <d v="2024-09-25T00:00:00"/>
    <d v="2024-09-30T00:00:00"/>
    <n v="24225660.649"/>
    <n v="0.113"/>
    <n v="0.11"/>
    <d v="2024-12-09T00:00:00"/>
    <x v="164"/>
    <n v="24225660.649"/>
    <s v="Standard"/>
    <n v="0"/>
    <n v="1"/>
    <n v="0"/>
    <x v="52"/>
    <x v="1"/>
    <n v="45536"/>
    <n v="2737499.6533369999"/>
    <n v="2664822.6713900003"/>
    <n v="72676.981947000066"/>
  </r>
  <r>
    <x v="212"/>
    <s v="M19"/>
    <x v="18"/>
    <x v="11"/>
    <s v="each"/>
    <s v="S17"/>
    <x v="14"/>
    <d v="2024-09-25T00:00:00"/>
    <d v="2024-09-28T00:00:00"/>
    <n v="1.625"/>
    <n v="65390.29"/>
    <n v="65000"/>
    <d v="2024-12-07T00:00:00"/>
    <x v="165"/>
    <n v="1.625"/>
    <s v="Standard"/>
    <n v="1"/>
    <n v="1"/>
    <n v="1"/>
    <x v="1"/>
    <x v="1"/>
    <n v="45536"/>
    <n v="106259.22125"/>
    <n v="105625"/>
    <n v="634.22125000000142"/>
  </r>
  <r>
    <x v="213"/>
    <s v="M09"/>
    <x v="8"/>
    <x v="2"/>
    <s v="liter"/>
    <s v="S09"/>
    <x v="6"/>
    <d v="2024-10-01T00:00:00"/>
    <d v="2024-10-05T00:00:00"/>
    <n v="71971.547999999995"/>
    <n v="6.96"/>
    <n v="6.8"/>
    <d v="2024-10-26T00:00:00"/>
    <x v="124"/>
    <n v="71971.547999999995"/>
    <s v="Standard"/>
    <n v="1"/>
    <n v="1"/>
    <n v="1"/>
    <x v="7"/>
    <x v="1"/>
    <n v="45566"/>
    <n v="500921.97407999996"/>
    <n v="489406.52639999997"/>
    <n v="11515.44768000001"/>
  </r>
  <r>
    <x v="214"/>
    <s v="M10"/>
    <x v="9"/>
    <x v="4"/>
    <s v="liter"/>
    <s v="S10"/>
    <x v="7"/>
    <d v="2024-10-02T00:00:00"/>
    <d v="2024-10-05T00:00:00"/>
    <n v="14532.612999999999"/>
    <n v="38.47"/>
    <n v="38"/>
    <d v="2024-11-09T00:00:00"/>
    <x v="166"/>
    <n v="14532.612999999999"/>
    <s v="Standard"/>
    <n v="1"/>
    <n v="1"/>
    <n v="1"/>
    <x v="10"/>
    <x v="1"/>
    <n v="45566"/>
    <n v="559069.62211"/>
    <n v="552239.29399999999"/>
    <n v="6830.3281099999831"/>
  </r>
  <r>
    <x v="215"/>
    <s v="M13"/>
    <x v="12"/>
    <x v="6"/>
    <s v="kg"/>
    <s v="S12"/>
    <x v="9"/>
    <d v="2024-09-30T00:00:00"/>
    <d v="2024-10-02T00:00:00"/>
    <n v="115.002"/>
    <n v="3923.5"/>
    <n v="3900"/>
    <d v="2024-12-11T00:00:00"/>
    <x v="167"/>
    <n v="115.002"/>
    <s v="Standard"/>
    <n v="0"/>
    <n v="1"/>
    <n v="0"/>
    <x v="48"/>
    <x v="1"/>
    <n v="45566"/>
    <n v="451210.34700000001"/>
    <n v="448507.8"/>
    <n v="2702.547"/>
  </r>
  <r>
    <x v="216"/>
    <s v="M02"/>
    <x v="1"/>
    <x v="1"/>
    <s v="liter"/>
    <s v="S03"/>
    <x v="1"/>
    <d v="2024-10-07T00:00:00"/>
    <d v="2024-10-09T00:00:00"/>
    <n v="1005.448"/>
    <n v="2495.6799999999998"/>
    <n v="2400"/>
    <d v="2024-12-18T00:00:00"/>
    <x v="168"/>
    <n v="402.17899999999997"/>
    <s v="Standard"/>
    <n v="0"/>
    <n v="0"/>
    <n v="0"/>
    <x v="48"/>
    <x v="1"/>
    <n v="45566"/>
    <n v="1003710.0867199999"/>
    <n v="965229.6"/>
    <n v="38480.486719999928"/>
  </r>
  <r>
    <x v="217"/>
    <s v="M03"/>
    <x v="2"/>
    <x v="2"/>
    <s v="liter"/>
    <s v="S09"/>
    <x v="6"/>
    <d v="2024-10-07T00:00:00"/>
    <d v="2024-10-14T00:00:00"/>
    <n v="51682.48"/>
    <n v="9.76"/>
    <n v="9.5"/>
    <d v="2024-11-04T00:00:00"/>
    <x v="169"/>
    <n v="51682.48"/>
    <s v="Standard"/>
    <n v="0"/>
    <n v="1"/>
    <n v="0"/>
    <x v="28"/>
    <x v="1"/>
    <n v="45566"/>
    <n v="504421.0048"/>
    <n v="490983.56000000006"/>
    <n v="13437.44479999999"/>
  </r>
  <r>
    <x v="218"/>
    <s v="M11"/>
    <x v="10"/>
    <x v="4"/>
    <s v="each"/>
    <s v="S10"/>
    <x v="7"/>
    <d v="2024-10-07T00:00:00"/>
    <d v="2024-10-10T00:00:00"/>
    <n v="288.75700000000001"/>
    <n v="518.48"/>
    <n v="520"/>
    <d v="2024-11-14T00:00:00"/>
    <x v="170"/>
    <n v="288.75700000000001"/>
    <s v="Standard"/>
    <n v="1"/>
    <n v="1"/>
    <n v="1"/>
    <x v="10"/>
    <x v="1"/>
    <n v="45566"/>
    <n v="149714.72936"/>
    <n v="150153.64000000001"/>
    <n v="-438.91063999999477"/>
  </r>
  <r>
    <x v="219"/>
    <s v="M05"/>
    <x v="4"/>
    <x v="3"/>
    <s v="kg"/>
    <s v="S07"/>
    <x v="4"/>
    <d v="2024-10-14T00:00:00"/>
    <d v="2024-10-15T00:00:00"/>
    <n v="25787.67"/>
    <n v="28.74"/>
    <n v="28"/>
    <d v="2024-11-26T00:00:00"/>
    <x v="171"/>
    <n v="25787.67"/>
    <s v="Standard"/>
    <n v="1"/>
    <n v="1"/>
    <n v="1"/>
    <x v="0"/>
    <x v="1"/>
    <n v="45566"/>
    <n v="741137.63579999993"/>
    <n v="722054.76"/>
    <n v="19082.875799999958"/>
  </r>
  <r>
    <x v="220"/>
    <s v="M20"/>
    <x v="19"/>
    <x v="12"/>
    <s v="kit"/>
    <s v="S18"/>
    <x v="15"/>
    <d v="2024-10-14T00:00:00"/>
    <d v="2024-10-16T00:00:00"/>
    <n v="71945.53"/>
    <n v="6.51"/>
    <n v="6.5"/>
    <d v="2024-12-11T00:00:00"/>
    <x v="172"/>
    <n v="71945.53"/>
    <s v="Standard"/>
    <n v="0"/>
    <n v="1"/>
    <n v="0"/>
    <x v="53"/>
    <x v="1"/>
    <n v="45566"/>
    <n v="468365.40029999998"/>
    <n v="467645.94500000001"/>
    <n v="719.45529999998462"/>
  </r>
  <r>
    <x v="221"/>
    <s v="M06"/>
    <x v="5"/>
    <x v="3"/>
    <s v="kg"/>
    <s v="S07"/>
    <x v="4"/>
    <d v="2024-10-23T00:00:00"/>
    <d v="2024-10-25T00:00:00"/>
    <n v="2297.2429999999999"/>
    <n v="435.23"/>
    <n v="410"/>
    <d v="2024-12-06T00:00:00"/>
    <x v="173"/>
    <n v="2297.2429999999999"/>
    <s v="Standard"/>
    <n v="1"/>
    <n v="1"/>
    <n v="1"/>
    <x v="0"/>
    <x v="1"/>
    <n v="45566"/>
    <n v="999829.07088999997"/>
    <n v="941869.63"/>
    <n v="57959.440890000042"/>
  </r>
  <r>
    <x v="222"/>
    <s v="M08"/>
    <x v="7"/>
    <x v="2"/>
    <s v="liter"/>
    <s v="S09"/>
    <x v="6"/>
    <d v="2024-10-21T00:00:00"/>
    <d v="2024-10-24T00:00:00"/>
    <n v="172157.23199999999"/>
    <n v="4.21"/>
    <n v="4.2"/>
    <d v="2024-11-14T00:00:00"/>
    <x v="170"/>
    <n v="172157.23199999999"/>
    <s v="Standard"/>
    <n v="1"/>
    <n v="1"/>
    <n v="1"/>
    <x v="2"/>
    <x v="1"/>
    <n v="45566"/>
    <n v="724781.94671999989"/>
    <n v="723060.37439999997"/>
    <n v="1721.5723199999632"/>
  </r>
  <r>
    <x v="223"/>
    <s v="M17"/>
    <x v="16"/>
    <x v="10"/>
    <s v="meter"/>
    <s v="S16"/>
    <x v="13"/>
    <d v="2024-10-21T00:00:00"/>
    <d v="2024-10-23T00:00:00"/>
    <n v="14279404.895"/>
    <n v="4.1000000000000003E-3"/>
    <n v="4.0000000000000001E-3"/>
    <d v="2024-11-27T00:00:00"/>
    <x v="174"/>
    <n v="14279404.895"/>
    <s v="Standard"/>
    <n v="0"/>
    <n v="1"/>
    <n v="0"/>
    <x v="13"/>
    <x v="1"/>
    <n v="45566"/>
    <n v="58545.560069500003"/>
    <n v="57117.619579999999"/>
    <n v="1427.9404895000037"/>
  </r>
  <r>
    <x v="224"/>
    <s v="M18"/>
    <x v="17"/>
    <x v="10"/>
    <s v="gram"/>
    <s v="S16"/>
    <x v="13"/>
    <d v="2024-10-22T00:00:00"/>
    <d v="2024-10-26T00:00:00"/>
    <n v="8329652.8550000004"/>
    <n v="2.0500000000000001E-2"/>
    <n v="0.02"/>
    <d v="2024-11-30T00:00:00"/>
    <x v="175"/>
    <n v="8329652.8550000004"/>
    <s v="Standard"/>
    <n v="0"/>
    <n v="1"/>
    <n v="0"/>
    <x v="27"/>
    <x v="1"/>
    <n v="45566"/>
    <n v="170757.8835275"/>
    <n v="166593.05710000001"/>
    <n v="4164.8264275000038"/>
  </r>
  <r>
    <x v="225"/>
    <s v="M19"/>
    <x v="18"/>
    <x v="11"/>
    <s v="each"/>
    <s v="S17"/>
    <x v="14"/>
    <d v="2024-10-23T00:00:00"/>
    <d v="2024-10-25T00:00:00"/>
    <n v="2"/>
    <n v="66006.179999999993"/>
    <n v="65000"/>
    <d v="2025-01-03T00:00:00"/>
    <x v="176"/>
    <n v="2"/>
    <s v="Standard"/>
    <n v="0"/>
    <n v="1"/>
    <n v="0"/>
    <x v="54"/>
    <x v="1"/>
    <n v="45566"/>
    <n v="132012.35999999999"/>
    <n v="130000"/>
    <n v="2012.359999999986"/>
  </r>
  <r>
    <x v="226"/>
    <s v="M21"/>
    <x v="20"/>
    <x v="13"/>
    <s v="each"/>
    <s v="S19"/>
    <x v="16"/>
    <d v="2024-10-21T00:00:00"/>
    <d v="2024-10-29T00:00:00"/>
    <n v="23863869.826000001"/>
    <n v="1.21E-2"/>
    <n v="1.2E-2"/>
    <d v="2024-11-12T00:00:00"/>
    <x v="158"/>
    <n v="23863869.826000001"/>
    <s v="Standard"/>
    <n v="1"/>
    <n v="1"/>
    <n v="1"/>
    <x v="40"/>
    <x v="1"/>
    <n v="45566"/>
    <n v="288752.82489460002"/>
    <n v="286366.43791199999"/>
    <n v="2386.3869825999859"/>
  </r>
  <r>
    <x v="227"/>
    <s v="M01"/>
    <x v="0"/>
    <x v="0"/>
    <s v="wafer"/>
    <s v="S01"/>
    <x v="0"/>
    <d v="2024-10-28T00:00:00"/>
    <d v="2024-11-01T00:00:00"/>
    <n v="28651.581999999999"/>
    <n v="121.51"/>
    <n v="118"/>
    <d v="2024-12-13T00:00:00"/>
    <x v="177"/>
    <n v="28651.581999999999"/>
    <s v="Standard"/>
    <n v="0"/>
    <n v="1"/>
    <n v="0"/>
    <x v="39"/>
    <x v="1"/>
    <n v="45597"/>
    <n v="3481453.7288199998"/>
    <n v="3380886.676"/>
    <n v="100567.05282000014"/>
  </r>
  <r>
    <x v="228"/>
    <s v="M04"/>
    <x v="3"/>
    <x v="3"/>
    <s v="cylinder"/>
    <s v="S05"/>
    <x v="3"/>
    <d v="2024-10-28T00:00:00"/>
    <d v="2024-11-04T00:00:00"/>
    <n v="146.63"/>
    <n v="1901.65"/>
    <n v="1850"/>
    <d v="2024-12-30T00:00:00"/>
    <x v="178"/>
    <n v="146.63"/>
    <s v="Standard"/>
    <n v="0"/>
    <n v="1"/>
    <n v="0"/>
    <x v="3"/>
    <x v="1"/>
    <n v="45597"/>
    <n v="278838.93949999998"/>
    <n v="271265.5"/>
    <n v="7573.4395000000131"/>
  </r>
  <r>
    <x v="229"/>
    <s v="M07"/>
    <x v="6"/>
    <x v="3"/>
    <s v="kg"/>
    <s v="S08"/>
    <x v="5"/>
    <d v="2024-10-29T00:00:00"/>
    <d v="2024-11-02T00:00:00"/>
    <n v="3438.5990000000002"/>
    <n v="163.28"/>
    <n v="160"/>
    <d v="2024-11-30T00:00:00"/>
    <x v="179"/>
    <n v="3438.5990000000002"/>
    <s v="Standard"/>
    <n v="1"/>
    <n v="1"/>
    <n v="1"/>
    <x v="6"/>
    <x v="1"/>
    <n v="45597"/>
    <n v="561454.44472000003"/>
    <n v="550175.84000000008"/>
    <n v="11278.604720000005"/>
  </r>
  <r>
    <x v="230"/>
    <s v="M14"/>
    <x v="13"/>
    <x v="7"/>
    <s v="kit"/>
    <s v="S13"/>
    <x v="10"/>
    <d v="2024-10-29T00:00:00"/>
    <d v="2024-10-31T00:00:00"/>
    <n v="22.92"/>
    <n v="6282.09"/>
    <n v="6200"/>
    <d v="2024-12-19T00:00:00"/>
    <x v="180"/>
    <n v="22.92"/>
    <s v="Standard"/>
    <n v="0"/>
    <n v="1"/>
    <n v="0"/>
    <x v="17"/>
    <x v="1"/>
    <n v="45566"/>
    <n v="143985.50280000002"/>
    <n v="142104"/>
    <n v="1881.5028000000034"/>
  </r>
  <r>
    <x v="231"/>
    <s v="M16"/>
    <x v="15"/>
    <x v="9"/>
    <s v="each"/>
    <s v="S15"/>
    <x v="12"/>
    <d v="2024-10-29T00:00:00"/>
    <d v="2024-10-30T00:00:00"/>
    <n v="23593267.32"/>
    <n v="0.1145"/>
    <n v="0.11"/>
    <d v="2025-01-08T00:00:00"/>
    <x v="181"/>
    <n v="23593267.32"/>
    <s v="Standard"/>
    <n v="0"/>
    <n v="1"/>
    <n v="0"/>
    <x v="55"/>
    <x v="1"/>
    <n v="45566"/>
    <n v="2701429.1081400001"/>
    <n v="2595259.4051999999"/>
    <n v="106169.70294000009"/>
  </r>
  <r>
    <x v="232"/>
    <s v="M12"/>
    <x v="11"/>
    <x v="5"/>
    <s v="each"/>
    <s v="S11"/>
    <x v="8"/>
    <d v="2024-11-04T00:00:00"/>
    <d v="2024-11-07T00:00:00"/>
    <n v="17.16"/>
    <n v="9969.8799999999992"/>
    <n v="9500"/>
    <d v="2025-01-09T00:00:00"/>
    <x v="176"/>
    <n v="17.16"/>
    <s v="Standard"/>
    <n v="1"/>
    <n v="1"/>
    <n v="1"/>
    <x v="35"/>
    <x v="1"/>
    <n v="45597"/>
    <n v="171083.14079999999"/>
    <n v="163020"/>
    <n v="8063.1407999999865"/>
  </r>
  <r>
    <x v="233"/>
    <s v="M09"/>
    <x v="8"/>
    <x v="2"/>
    <s v="liter"/>
    <s v="S09"/>
    <x v="6"/>
    <d v="2024-11-11T00:00:00"/>
    <d v="2024-11-16T00:00:00"/>
    <n v="71474.005999999994"/>
    <n v="7.03"/>
    <n v="6.8"/>
    <d v="2024-12-07T00:00:00"/>
    <x v="182"/>
    <n v="71474.005999999994"/>
    <s v="Standard"/>
    <n v="0"/>
    <n v="1"/>
    <n v="0"/>
    <x v="56"/>
    <x v="1"/>
    <n v="45597"/>
    <n v="502462.26217999996"/>
    <n v="486023.24079999997"/>
    <n v="16439.021380000027"/>
  </r>
  <r>
    <x v="234"/>
    <s v="M10"/>
    <x v="9"/>
    <x v="4"/>
    <s v="liter"/>
    <s v="S10"/>
    <x v="7"/>
    <d v="2024-11-11T00:00:00"/>
    <d v="2024-11-15T00:00:00"/>
    <n v="17211.866999999998"/>
    <n v="38.97"/>
    <n v="38"/>
    <d v="2024-12-20T00:00:00"/>
    <x v="183"/>
    <n v="17211.866999999998"/>
    <s v="Standard"/>
    <n v="1"/>
    <n v="1"/>
    <n v="1"/>
    <x v="10"/>
    <x v="1"/>
    <n v="45597"/>
    <n v="670746.45698999986"/>
    <n v="654050.946"/>
    <n v="16695.510989999981"/>
  </r>
  <r>
    <x v="235"/>
    <s v="M13"/>
    <x v="12"/>
    <x v="6"/>
    <s v="kg"/>
    <s v="S12"/>
    <x v="9"/>
    <d v="2024-11-11T00:00:00"/>
    <d v="2024-11-14T00:00:00"/>
    <n v="114.35899999999999"/>
    <n v="3930.36"/>
    <n v="3900"/>
    <d v="2025-01-23T00:00:00"/>
    <x v="184"/>
    <n v="114.35899999999999"/>
    <s v="Standard"/>
    <n v="1"/>
    <n v="1"/>
    <n v="1"/>
    <x v="16"/>
    <x v="1"/>
    <n v="45597"/>
    <n v="449472.03924000001"/>
    <n v="446000.1"/>
    <n v="3471.9392400000143"/>
  </r>
  <r>
    <x v="236"/>
    <s v="M15"/>
    <x v="14"/>
    <x v="8"/>
    <s v="kit"/>
    <s v="S14"/>
    <x v="11"/>
    <d v="2024-11-12T00:00:00"/>
    <d v="2024-11-19T00:00:00"/>
    <n v="3"/>
    <n v="48513.09"/>
    <n v="48000"/>
    <d v="2025-03-25T00:00:00"/>
    <x v="185"/>
    <n v="3"/>
    <s v="Standard"/>
    <n v="1"/>
    <n v="1"/>
    <n v="1"/>
    <x v="51"/>
    <x v="1"/>
    <n v="45597"/>
    <n v="145539.26999999999"/>
    <n v="144000"/>
    <n v="1539.2699999999895"/>
  </r>
  <r>
    <x v="237"/>
    <s v="M02"/>
    <x v="1"/>
    <x v="1"/>
    <s v="liter"/>
    <s v="S03"/>
    <x v="1"/>
    <d v="2024-11-20T00:00:00"/>
    <d v="2024-11-24T00:00:00"/>
    <n v="5712"/>
    <n v="2446.5700000000002"/>
    <n v="2400"/>
    <d v="2025-02-02T00:00:00"/>
    <x v="186"/>
    <n v="5712"/>
    <s v="Strategic buy"/>
    <n v="1"/>
    <n v="1"/>
    <n v="1"/>
    <x v="31"/>
    <x v="1"/>
    <n v="45597"/>
    <n v="13974807.840000002"/>
    <n v="13708800"/>
    <n v="266007.84000000096"/>
  </r>
  <r>
    <x v="238"/>
    <s v="M03"/>
    <x v="2"/>
    <x v="2"/>
    <s v="liter"/>
    <s v="S09"/>
    <x v="6"/>
    <d v="2024-11-18T00:00:00"/>
    <d v="2024-11-21T00:00:00"/>
    <n v="51504.014000000003"/>
    <n v="9.74"/>
    <n v="9.5"/>
    <d v="2024-12-12T00:00:00"/>
    <x v="182"/>
    <n v="51504.014000000003"/>
    <s v="Standard"/>
    <n v="1"/>
    <n v="1"/>
    <n v="1"/>
    <x v="8"/>
    <x v="1"/>
    <n v="45597"/>
    <n v="501649.09636000003"/>
    <n v="489288.13300000003"/>
    <n v="12360.963360000012"/>
  </r>
  <r>
    <x v="239"/>
    <s v="M11"/>
    <x v="10"/>
    <x v="4"/>
    <s v="each"/>
    <s v="S10"/>
    <x v="7"/>
    <d v="2024-11-20T00:00:00"/>
    <d v="2024-11-21T00:00:00"/>
    <n v="343.41899999999998"/>
    <n v="523.64"/>
    <n v="520"/>
    <d v="2024-12-26T00:00:00"/>
    <x v="187"/>
    <n v="343.41899999999998"/>
    <s v="Standard"/>
    <n v="1"/>
    <n v="1"/>
    <n v="1"/>
    <x v="15"/>
    <x v="1"/>
    <n v="45597"/>
    <n v="179827.92515999998"/>
    <n v="178577.88"/>
    <n v="1250.0451599999953"/>
  </r>
  <r>
    <x v="240"/>
    <s v="M20"/>
    <x v="19"/>
    <x v="12"/>
    <s v="kit"/>
    <s v="S18"/>
    <x v="15"/>
    <d v="2024-11-18T00:00:00"/>
    <d v="2024-11-20T00:00:00"/>
    <n v="69905.188999999998"/>
    <n v="6.64"/>
    <n v="6.5"/>
    <d v="2025-01-15T00:00:00"/>
    <x v="188"/>
    <n v="69905.188999999998"/>
    <s v="Standard"/>
    <n v="1"/>
    <n v="1"/>
    <n v="1"/>
    <x v="17"/>
    <x v="1"/>
    <n v="45597"/>
    <n v="464170.45495999994"/>
    <n v="454383.72849999997"/>
    <n v="9786.726459999978"/>
  </r>
  <r>
    <x v="241"/>
    <s v="M05"/>
    <x v="4"/>
    <x v="3"/>
    <s v="kg"/>
    <s v="S08"/>
    <x v="5"/>
    <d v="2024-11-27T00:00:00"/>
    <d v="2024-12-01T00:00:00"/>
    <n v="25807.878000000001"/>
    <n v="28.29"/>
    <n v="28"/>
    <d v="2025-01-12T00:00:00"/>
    <x v="189"/>
    <n v="25807.878000000001"/>
    <s v="Standard"/>
    <n v="1"/>
    <n v="1"/>
    <n v="1"/>
    <x v="5"/>
    <x v="1"/>
    <n v="45627"/>
    <n v="730104.86861999996"/>
    <n v="722620.58400000003"/>
    <n v="7484.2846199999785"/>
  </r>
  <r>
    <x v="242"/>
    <s v="M15"/>
    <x v="14"/>
    <x v="8"/>
    <s v="kit"/>
    <s v="S14"/>
    <x v="11"/>
    <d v="2024-11-26T00:00:00"/>
    <d v="2024-11-29T00:00:00"/>
    <n v="4.2089999999999996"/>
    <n v="49164.95"/>
    <n v="48000"/>
    <d v="2025-04-04T00:00:00"/>
    <x v="190"/>
    <n v="4.2089999999999996"/>
    <s v="Standard"/>
    <n v="1"/>
    <n v="1"/>
    <n v="1"/>
    <x v="19"/>
    <x v="1"/>
    <n v="45597"/>
    <n v="206935.27454999997"/>
    <n v="202031.99999999997"/>
    <n v="4903.2745499999874"/>
  </r>
  <r>
    <x v="243"/>
    <s v="M17"/>
    <x v="16"/>
    <x v="10"/>
    <s v="meter"/>
    <s v="S16"/>
    <x v="13"/>
    <d v="2024-11-27T00:00:00"/>
    <d v="2024-11-29T00:00:00"/>
    <n v="13790948.140000001"/>
    <n v="4.0000000000000001E-3"/>
    <n v="4.0000000000000001E-3"/>
    <d v="2025-01-03T00:00:00"/>
    <x v="191"/>
    <n v="13790948.140000001"/>
    <s v="Standard"/>
    <n v="1"/>
    <n v="1"/>
    <n v="1"/>
    <x v="15"/>
    <x v="1"/>
    <n v="45597"/>
    <n v="55163.792560000002"/>
    <n v="55163.792560000002"/>
    <n v="0"/>
  </r>
  <r>
    <x v="244"/>
    <s v="M18"/>
    <x v="17"/>
    <x v="10"/>
    <s v="gram"/>
    <s v="S16"/>
    <x v="13"/>
    <d v="2024-11-26T00:00:00"/>
    <d v="2024-12-03T00:00:00"/>
    <n v="8053176.3090000004"/>
    <n v="2.0299999999999999E-2"/>
    <n v="0.02"/>
    <d v="2025-01-07T00:00:00"/>
    <x v="192"/>
    <n v="8053176.3090000004"/>
    <s v="Standard"/>
    <n v="1"/>
    <n v="1"/>
    <n v="1"/>
    <x v="10"/>
    <x v="1"/>
    <n v="45627"/>
    <n v="163479.47907269999"/>
    <n v="161063.52618000002"/>
    <n v="2415.9528926999856"/>
  </r>
  <r>
    <x v="245"/>
    <s v="M21"/>
    <x v="20"/>
    <x v="13"/>
    <s v="each"/>
    <s v="S19"/>
    <x v="16"/>
    <d v="2024-11-25T00:00:00"/>
    <d v="2024-11-27T00:00:00"/>
    <n v="23044660.041999999"/>
    <n v="1.23E-2"/>
    <n v="1.2E-2"/>
    <d v="2024-12-11T00:00:00"/>
    <x v="193"/>
    <n v="23044660.041999999"/>
    <s v="Standard"/>
    <n v="1"/>
    <n v="1"/>
    <n v="1"/>
    <x v="18"/>
    <x v="1"/>
    <n v="45597"/>
    <n v="283449.3185166"/>
    <n v="276535.92050399998"/>
    <n v="6913.3980125999979"/>
  </r>
  <r>
    <x v="246"/>
    <s v="M04"/>
    <x v="3"/>
    <x v="3"/>
    <s v="cylinder"/>
    <s v="S05"/>
    <x v="3"/>
    <d v="2024-12-02T00:00:00"/>
    <d v="2024-12-03T00:00:00"/>
    <n v="144.24199999999999"/>
    <n v="1856.59"/>
    <n v="1850"/>
    <d v="2025-01-28T00:00:00"/>
    <x v="194"/>
    <n v="144.24199999999999"/>
    <s v="Standard"/>
    <n v="1"/>
    <n v="1"/>
    <n v="1"/>
    <x v="17"/>
    <x v="1"/>
    <n v="45627"/>
    <n v="267798.25477999996"/>
    <n v="266847.69999999995"/>
    <n v="950.55477999998811"/>
  </r>
  <r>
    <x v="247"/>
    <s v="M06"/>
    <x v="5"/>
    <x v="3"/>
    <s v="kg"/>
    <s v="S07"/>
    <x v="4"/>
    <d v="2024-12-02T00:00:00"/>
    <d v="2024-12-05T00:00:00"/>
    <n v="2293.1779999999999"/>
    <n v="432.08"/>
    <n v="410"/>
    <d v="2025-01-16T00:00:00"/>
    <x v="195"/>
    <n v="2293.1779999999999"/>
    <s v="Standard"/>
    <n v="1"/>
    <n v="1"/>
    <n v="1"/>
    <x v="0"/>
    <x v="1"/>
    <n v="45627"/>
    <n v="990836.35023999994"/>
    <n v="940202.98"/>
    <n v="50633.37023999996"/>
  </r>
  <r>
    <x v="248"/>
    <s v="M08"/>
    <x v="7"/>
    <x v="2"/>
    <s v="liter"/>
    <s v="S06"/>
    <x v="2"/>
    <d v="2024-12-03T00:00:00"/>
    <d v="2024-12-04T00:00:00"/>
    <n v="172520.95699999999"/>
    <n v="4.1500000000000004"/>
    <n v="4.2"/>
    <d v="2024-12-25T00:00:00"/>
    <x v="196"/>
    <n v="172520.95699999999"/>
    <s v="Standard"/>
    <n v="0"/>
    <n v="1"/>
    <n v="0"/>
    <x v="6"/>
    <x v="1"/>
    <n v="45627"/>
    <n v="715961.97155000002"/>
    <n v="724588.01939999999"/>
    <n v="-8626.0478499999699"/>
  </r>
  <r>
    <x v="249"/>
    <s v="M16"/>
    <x v="15"/>
    <x v="9"/>
    <s v="each"/>
    <s v="S15"/>
    <x v="12"/>
    <d v="2024-12-02T00:00:00"/>
    <d v="2024-12-05T00:00:00"/>
    <n v="23309197.57"/>
    <n v="0.1148"/>
    <n v="0.11"/>
    <d v="2025-02-13T00:00:00"/>
    <x v="197"/>
    <n v="23309197.57"/>
    <s v="Standard"/>
    <n v="0"/>
    <n v="1"/>
    <n v="0"/>
    <x v="57"/>
    <x v="1"/>
    <n v="45627"/>
    <n v="2675895.8810359999"/>
    <n v="2564011.7327000001"/>
    <n v="111884.14833599997"/>
  </r>
  <r>
    <x v="250"/>
    <s v="M19"/>
    <x v="18"/>
    <x v="11"/>
    <s v="each"/>
    <s v="S17"/>
    <x v="14"/>
    <d v="2024-12-02T00:00:00"/>
    <d v="2024-12-05T00:00:00"/>
    <n v="2"/>
    <n v="68102.12"/>
    <n v="65000"/>
    <d v="2025-02-13T00:00:00"/>
    <x v="198"/>
    <n v="2"/>
    <s v="Standard"/>
    <n v="1"/>
    <n v="1"/>
    <n v="1"/>
    <x v="16"/>
    <x v="1"/>
    <n v="45627"/>
    <n v="136204.24"/>
    <n v="130000"/>
    <n v="6204.2399999999907"/>
  </r>
  <r>
    <x v="251"/>
    <s v="M01"/>
    <x v="0"/>
    <x v="0"/>
    <s v="wafer"/>
    <s v="S02"/>
    <x v="17"/>
    <d v="2024-12-09T00:00:00"/>
    <d v="2024-12-11T00:00:00"/>
    <n v="28650"/>
    <n v="107.25"/>
    <n v="118"/>
    <d v="2025-01-22T00:00:00"/>
    <x v="199"/>
    <n v="28650"/>
    <s v="Standard"/>
    <n v="1"/>
    <n v="1"/>
    <n v="1"/>
    <x v="4"/>
    <x v="1"/>
    <n v="45627"/>
    <n v="3072712.5"/>
    <n v="3380700"/>
    <n v="-307987.5"/>
  </r>
  <r>
    <x v="252"/>
    <s v="M07"/>
    <x v="6"/>
    <x v="3"/>
    <s v="kg"/>
    <s v="S08"/>
    <x v="5"/>
    <d v="2024-12-09T00:00:00"/>
    <d v="2024-12-12T00:00:00"/>
    <n v="3438.8"/>
    <n v="163.96"/>
    <n v="160"/>
    <d v="2025-01-09T00:00:00"/>
    <x v="178"/>
    <n v="2823.4450000000002"/>
    <s v="Standard"/>
    <n v="1"/>
    <n v="0"/>
    <n v="0"/>
    <x v="43"/>
    <x v="1"/>
    <n v="45627"/>
    <n v="462932.04220000003"/>
    <n v="451751.2"/>
    <n v="11180.842200000023"/>
  </r>
  <r>
    <x v="253"/>
    <s v="M14"/>
    <x v="13"/>
    <x v="7"/>
    <s v="kit"/>
    <s v="S13"/>
    <x v="10"/>
    <d v="2024-12-10T00:00:00"/>
    <d v="2024-12-15T00:00:00"/>
    <n v="22.92"/>
    <n v="6357.85"/>
    <n v="6200"/>
    <d v="2025-02-02T00:00:00"/>
    <x v="200"/>
    <n v="22.92"/>
    <s v="Standard"/>
    <n v="1"/>
    <n v="1"/>
    <n v="1"/>
    <x v="36"/>
    <x v="1"/>
    <n v="45627"/>
    <n v="145721.92200000002"/>
    <n v="142104"/>
    <n v="3617.9220000000087"/>
  </r>
  <r>
    <x v="254"/>
    <s v="M12"/>
    <x v="11"/>
    <x v="5"/>
    <s v="each"/>
    <s v="S11"/>
    <x v="8"/>
    <d v="2024-12-18T00:00:00"/>
    <d v="2024-12-20T00:00:00"/>
    <n v="15.03"/>
    <n v="9688.68"/>
    <n v="9500"/>
    <d v="2025-02-21T00:00:00"/>
    <x v="201"/>
    <n v="15.03"/>
    <s v="Standard"/>
    <n v="1"/>
    <n v="1"/>
    <n v="1"/>
    <x v="44"/>
    <x v="1"/>
    <n v="45627"/>
    <n v="145620.86040000001"/>
    <n v="142785"/>
    <n v="2835.8604000000041"/>
  </r>
  <r>
    <x v="255"/>
    <s v="M15"/>
    <x v="14"/>
    <x v="8"/>
    <s v="kit"/>
    <s v="S14"/>
    <x v="11"/>
    <d v="2024-12-25T00:00:00"/>
    <d v="2024-12-29T00:00:00"/>
    <n v="3.903"/>
    <n v="48725.51"/>
    <n v="48000"/>
    <d v="2025-05-04T00:00:00"/>
    <x v="202"/>
    <n v="3.903"/>
    <s v="Standard"/>
    <n v="1"/>
    <n v="1"/>
    <n v="1"/>
    <x v="58"/>
    <x v="1"/>
    <n v="45627"/>
    <n v="190175.66553"/>
    <n v="187344"/>
    <n v="2831.6655300000079"/>
  </r>
  <r>
    <x v="256"/>
    <s v="M09"/>
    <x v="8"/>
    <x v="2"/>
    <s v="liter"/>
    <s v="S09"/>
    <x v="6"/>
    <d v="2024-12-30T00:00:00"/>
    <d v="2025-01-01T00:00:00"/>
    <n v="56235.983"/>
    <n v="6.74"/>
    <n v="7"/>
    <d v="2025-01-22T00:00:00"/>
    <x v="203"/>
    <n v="56235.983"/>
    <s v="Standard"/>
    <n v="1"/>
    <n v="1"/>
    <n v="1"/>
    <x v="8"/>
    <x v="2"/>
    <n v="45658"/>
    <n v="379030.52542000002"/>
    <n v="393651.88099999999"/>
    <n v="-14621.355579999989"/>
  </r>
  <r>
    <x v="257"/>
    <s v="M04"/>
    <x v="3"/>
    <x v="3"/>
    <s v="cylinder"/>
    <s v="S05"/>
    <x v="3"/>
    <d v="2025-01-06T00:00:00"/>
    <d v="2025-01-07T00:00:00"/>
    <n v="121.009"/>
    <n v="1846.24"/>
    <n v="1905.5"/>
    <d v="2025-03-04T00:00:00"/>
    <x v="204"/>
    <n v="121.009"/>
    <s v="Standard"/>
    <n v="1"/>
    <n v="1"/>
    <n v="1"/>
    <x v="29"/>
    <x v="2"/>
    <n v="45658"/>
    <n v="223411.65616000001"/>
    <n v="230582.6495"/>
    <n v="-7170.9933399999991"/>
  </r>
  <r>
    <x v="258"/>
    <s v="M10"/>
    <x v="9"/>
    <x v="4"/>
    <s v="liter"/>
    <s v="S10"/>
    <x v="7"/>
    <d v="2025-01-06T00:00:00"/>
    <d v="2025-01-08T00:00:00"/>
    <n v="13593.091"/>
    <n v="37.35"/>
    <n v="39.14"/>
    <d v="2025-02-12T00:00:00"/>
    <x v="205"/>
    <n v="13593.091"/>
    <s v="Standard"/>
    <n v="1"/>
    <n v="1"/>
    <n v="1"/>
    <x v="28"/>
    <x v="2"/>
    <n v="45658"/>
    <n v="507701.94885000004"/>
    <n v="532033.58174000005"/>
    <n v="-24331.63288999999"/>
  </r>
  <r>
    <x v="259"/>
    <s v="M13"/>
    <x v="12"/>
    <x v="6"/>
    <s v="kg"/>
    <s v="S12"/>
    <x v="9"/>
    <d v="2025-01-08T00:00:00"/>
    <d v="2025-01-09T00:00:00"/>
    <n v="90.454999999999998"/>
    <n v="3880.96"/>
    <n v="4017"/>
    <d v="2025-03-20T00:00:00"/>
    <x v="206"/>
    <n v="90.454999999999998"/>
    <s v="Standard"/>
    <n v="1"/>
    <n v="1"/>
    <n v="1"/>
    <x v="16"/>
    <x v="2"/>
    <n v="45658"/>
    <n v="351052.23680000001"/>
    <n v="363357.73499999999"/>
    <n v="-12305.498199999996"/>
  </r>
  <r>
    <x v="260"/>
    <s v="M15"/>
    <x v="14"/>
    <x v="8"/>
    <s v="kit"/>
    <s v="S14"/>
    <x v="11"/>
    <d v="2025-01-07T00:00:00"/>
    <d v="2025-01-08T00:00:00"/>
    <n v="3"/>
    <n v="47678.81"/>
    <n v="49440"/>
    <d v="2025-05-14T00:00:00"/>
    <x v="207"/>
    <n v="3"/>
    <s v="Standard"/>
    <n v="1"/>
    <n v="1"/>
    <n v="1"/>
    <x v="19"/>
    <x v="2"/>
    <n v="45658"/>
    <n v="143036.43"/>
    <n v="148320"/>
    <n v="-5283.570000000007"/>
  </r>
  <r>
    <x v="261"/>
    <s v="M20"/>
    <x v="19"/>
    <x v="12"/>
    <s v="kit"/>
    <s v="S18"/>
    <x v="15"/>
    <d v="2025-01-06T00:00:00"/>
    <d v="2025-01-08T00:00:00"/>
    <n v="60131.987000000001"/>
    <n v="6.51"/>
    <n v="6.7"/>
    <d v="2025-03-05T00:00:00"/>
    <x v="208"/>
    <n v="60131.987000000001"/>
    <s v="Standard"/>
    <n v="1"/>
    <n v="1"/>
    <n v="1"/>
    <x v="29"/>
    <x v="2"/>
    <n v="45658"/>
    <n v="391459.23537000001"/>
    <n v="402884.31290000002"/>
    <n v="-11425.077530000024"/>
  </r>
  <r>
    <x v="262"/>
    <s v="M03"/>
    <x v="2"/>
    <x v="2"/>
    <s v="liter"/>
    <s v="S06"/>
    <x v="2"/>
    <d v="2025-01-14T00:00:00"/>
    <d v="2025-01-15T00:00:00"/>
    <n v="40792.370000000003"/>
    <n v="9.48"/>
    <n v="9.7799999999999994"/>
    <d v="2025-02-05T00:00:00"/>
    <x v="209"/>
    <n v="40792.370000000003"/>
    <s v="Standard"/>
    <n v="1"/>
    <n v="1"/>
    <n v="1"/>
    <x v="8"/>
    <x v="2"/>
    <n v="45658"/>
    <n v="386711.66760000004"/>
    <n v="398949.3786"/>
    <n v="-12237.710999999957"/>
  </r>
  <r>
    <x v="263"/>
    <s v="M11"/>
    <x v="10"/>
    <x v="4"/>
    <s v="each"/>
    <s v="S10"/>
    <x v="7"/>
    <d v="2025-01-15T00:00:00"/>
    <d v="2025-01-16T00:00:00"/>
    <n v="272.01499999999999"/>
    <n v="521.82000000000005"/>
    <n v="535.6"/>
    <d v="2025-02-20T00:00:00"/>
    <x v="210"/>
    <n v="272.01499999999999"/>
    <s v="Standard"/>
    <n v="1"/>
    <n v="1"/>
    <n v="1"/>
    <x v="10"/>
    <x v="2"/>
    <n v="45658"/>
    <n v="141942.86730000001"/>
    <n v="145691.234"/>
    <n v="-3748.3666999999923"/>
  </r>
  <r>
    <x v="264"/>
    <s v="M16"/>
    <x v="15"/>
    <x v="9"/>
    <s v="each"/>
    <s v="S15"/>
    <x v="12"/>
    <d v="2025-01-15T00:00:00"/>
    <d v="2025-01-17T00:00:00"/>
    <n v="20916751.839000002"/>
    <n v="0.11020000000000001"/>
    <n v="0.1133"/>
    <d v="2025-03-28T00:00:00"/>
    <x v="211"/>
    <n v="20916751.839000002"/>
    <s v="Standard"/>
    <n v="1"/>
    <n v="1"/>
    <n v="1"/>
    <x v="1"/>
    <x v="2"/>
    <n v="45658"/>
    <n v="2305026.0526578003"/>
    <n v="2369867.9833587003"/>
    <n v="-64841.930700899829"/>
  </r>
  <r>
    <x v="265"/>
    <s v="M17"/>
    <x v="16"/>
    <x v="10"/>
    <s v="meter"/>
    <s v="S16"/>
    <x v="13"/>
    <d v="2025-01-13T00:00:00"/>
    <d v="2025-01-14T00:00:00"/>
    <n v="12573336.289999999"/>
    <n v="4.0000000000000001E-3"/>
    <n v="4.1000000000000003E-3"/>
    <d v="2025-02-18T00:00:00"/>
    <x v="210"/>
    <n v="12573336.289999999"/>
    <s v="Standard"/>
    <n v="1"/>
    <n v="1"/>
    <n v="1"/>
    <x v="9"/>
    <x v="2"/>
    <n v="45658"/>
    <n v="50293.345159999997"/>
    <n v="51550.678788999998"/>
    <n v="-1257.3336290000032"/>
  </r>
  <r>
    <x v="266"/>
    <s v="M18"/>
    <x v="17"/>
    <x v="10"/>
    <s v="gram"/>
    <s v="S16"/>
    <x v="13"/>
    <d v="2025-01-15T00:00:00"/>
    <d v="2025-01-18T00:00:00"/>
    <n v="7317048.0769999996"/>
    <n v="0.02"/>
    <n v="2.06E-2"/>
    <d v="2025-02-22T00:00:00"/>
    <x v="212"/>
    <n v="7317048.0769999996"/>
    <s v="Standard"/>
    <n v="1"/>
    <n v="1"/>
    <n v="1"/>
    <x v="9"/>
    <x v="2"/>
    <n v="45658"/>
    <n v="146340.96153999999"/>
    <n v="150731.1903862"/>
    <n v="-4390.2288461999988"/>
  </r>
  <r>
    <x v="267"/>
    <s v="M21"/>
    <x v="20"/>
    <x v="13"/>
    <s v="each"/>
    <s v="S19"/>
    <x v="16"/>
    <d v="2025-01-14T00:00:00"/>
    <d v="2025-01-16T00:00:00"/>
    <n v="20946569.414999999"/>
    <n v="1.2E-2"/>
    <n v="1.24E-2"/>
    <d v="2025-01-30T00:00:00"/>
    <x v="213"/>
    <n v="20946569.414999999"/>
    <s v="Standard"/>
    <n v="1"/>
    <n v="1"/>
    <n v="1"/>
    <x v="20"/>
    <x v="2"/>
    <n v="45658"/>
    <n v="251358.83298000001"/>
    <n v="259737.46074599997"/>
    <n v="-8378.6277659999851"/>
  </r>
  <r>
    <x v="268"/>
    <s v="M05"/>
    <x v="4"/>
    <x v="3"/>
    <s v="kg"/>
    <s v="S08"/>
    <x v="5"/>
    <d v="2025-01-21T00:00:00"/>
    <d v="2025-01-23T00:00:00"/>
    <n v="20395.260999999999"/>
    <n v="27.15"/>
    <n v="28.84"/>
    <d v="2025-03-06T00:00:00"/>
    <x v="204"/>
    <n v="20395.260999999999"/>
    <s v="Standard"/>
    <n v="1"/>
    <n v="1"/>
    <n v="1"/>
    <x v="5"/>
    <x v="2"/>
    <n v="45658"/>
    <n v="553731.33614999999"/>
    <n v="588199.32724000001"/>
    <n v="-34467.991090000025"/>
  </r>
  <r>
    <x v="269"/>
    <s v="M06"/>
    <x v="5"/>
    <x v="3"/>
    <s v="kg"/>
    <s v="S07"/>
    <x v="4"/>
    <d v="2025-01-22T00:00:00"/>
    <d v="2025-01-27T00:00:00"/>
    <n v="1588.595"/>
    <n v="417.66"/>
    <n v="434.97"/>
    <d v="2025-03-10T00:00:00"/>
    <x v="214"/>
    <n v="1588.595"/>
    <s v="Standard"/>
    <n v="1"/>
    <n v="1"/>
    <n v="1"/>
    <x v="0"/>
    <x v="2"/>
    <n v="45658"/>
    <n v="663492.58770000003"/>
    <n v="690991.16715000011"/>
    <n v="-27498.579450000005"/>
  </r>
  <r>
    <x v="270"/>
    <s v="M19"/>
    <x v="18"/>
    <x v="11"/>
    <s v="each"/>
    <s v="S17"/>
    <x v="14"/>
    <d v="2025-01-20T00:00:00"/>
    <d v="2025-01-22T00:00:00"/>
    <n v="1"/>
    <n v="64945.18"/>
    <n v="66950"/>
    <d v="2025-04-02T00:00:00"/>
    <x v="215"/>
    <n v="1"/>
    <s v="Standard"/>
    <n v="1"/>
    <n v="1"/>
    <n v="1"/>
    <x v="31"/>
    <x v="2"/>
    <n v="45658"/>
    <n v="64945.18"/>
    <n v="66950"/>
    <n v="-2004.8199999999997"/>
  </r>
  <r>
    <x v="271"/>
    <s v="M07"/>
    <x v="6"/>
    <x v="3"/>
    <s v="kg"/>
    <s v="S08"/>
    <x v="5"/>
    <d v="2025-01-27T00:00:00"/>
    <d v="2025-01-30T00:00:00"/>
    <n v="2760.4630000000002"/>
    <n v="161.06"/>
    <n v="164.8"/>
    <d v="2025-02-27T00:00:00"/>
    <x v="216"/>
    <n v="2760.4630000000002"/>
    <s v="Standard"/>
    <n v="1"/>
    <n v="1"/>
    <n v="1"/>
    <x v="34"/>
    <x v="2"/>
    <n v="45658"/>
    <n v="444600.17078000004"/>
    <n v="454924.30240000004"/>
    <n v="-10324.131620000026"/>
  </r>
  <r>
    <x v="272"/>
    <s v="M08"/>
    <x v="7"/>
    <x v="2"/>
    <s v="liter"/>
    <s v="S06"/>
    <x v="2"/>
    <d v="2025-01-27T00:00:00"/>
    <d v="2025-01-31T00:00:00"/>
    <n v="135928.05799999999"/>
    <n v="4.01"/>
    <n v="4.17"/>
    <d v="2025-02-21T00:00:00"/>
    <x v="201"/>
    <n v="135928.05799999999"/>
    <s v="Standard"/>
    <n v="1"/>
    <n v="1"/>
    <n v="1"/>
    <x v="7"/>
    <x v="2"/>
    <n v="45658"/>
    <n v="545071.51257999998"/>
    <n v="566820.00185999996"/>
    <n v="-21748.489280000016"/>
  </r>
  <r>
    <x v="273"/>
    <s v="M14"/>
    <x v="13"/>
    <x v="7"/>
    <s v="kit"/>
    <s v="S13"/>
    <x v="10"/>
    <d v="2025-01-28T00:00:00"/>
    <d v="2025-01-30T00:00:00"/>
    <n v="15.94"/>
    <n v="6385.66"/>
    <n v="6386"/>
    <d v="2025-03-20T00:00:00"/>
    <x v="217"/>
    <n v="15.94"/>
    <s v="Standard"/>
    <n v="1"/>
    <n v="1"/>
    <n v="1"/>
    <x v="42"/>
    <x v="2"/>
    <n v="45658"/>
    <n v="101787.42039999999"/>
    <n v="101792.84"/>
    <n v="-5.419600000002319"/>
  </r>
  <r>
    <x v="274"/>
    <s v="M19"/>
    <x v="18"/>
    <x v="11"/>
    <s v="each"/>
    <s v="S17"/>
    <x v="14"/>
    <d v="2025-01-29T00:00:00"/>
    <d v="2025-02-01T00:00:00"/>
    <n v="1"/>
    <n v="72260.160000000003"/>
    <n v="66950"/>
    <d v="2025-02-22T00:00:00"/>
    <x v="218"/>
    <n v="1"/>
    <s v="Expedite"/>
    <n v="1"/>
    <n v="1"/>
    <n v="1"/>
    <x v="22"/>
    <x v="2"/>
    <n v="45689"/>
    <n v="72260.160000000003"/>
    <n v="66950"/>
    <n v="5310.1600000000035"/>
  </r>
  <r>
    <x v="275"/>
    <s v="M01"/>
    <x v="0"/>
    <x v="0"/>
    <s v="wafer"/>
    <s v="S01"/>
    <x v="0"/>
    <d v="2025-02-03T00:00:00"/>
    <d v="2025-02-04T00:00:00"/>
    <n v="22687.91"/>
    <n v="103.36"/>
    <n v="107.13"/>
    <d v="2025-03-18T00:00:00"/>
    <x v="219"/>
    <n v="22687.91"/>
    <s v="Standard"/>
    <n v="0"/>
    <n v="1"/>
    <n v="0"/>
    <x v="39"/>
    <x v="2"/>
    <n v="45689"/>
    <n v="2345022.3775999998"/>
    <n v="2430555.7982999999"/>
    <n v="-85533.420699999915"/>
  </r>
  <r>
    <x v="276"/>
    <s v="M09"/>
    <x v="8"/>
    <x v="2"/>
    <s v="liter"/>
    <s v="S09"/>
    <x v="6"/>
    <d v="2025-02-03T00:00:00"/>
    <d v="2025-02-04T00:00:00"/>
    <n v="59969.837"/>
    <n v="6.69"/>
    <n v="7"/>
    <d v="2025-02-25T00:00:00"/>
    <x v="197"/>
    <n v="59969.837"/>
    <s v="Standard"/>
    <n v="1"/>
    <n v="1"/>
    <n v="1"/>
    <x v="22"/>
    <x v="2"/>
    <n v="45689"/>
    <n v="401198.20952999999"/>
    <n v="419788.859"/>
    <n v="-18590.649469999975"/>
  </r>
  <r>
    <x v="277"/>
    <s v="M10"/>
    <x v="9"/>
    <x v="4"/>
    <s v="liter"/>
    <s v="S06"/>
    <x v="2"/>
    <d v="2025-02-03T00:00:00"/>
    <d v="2025-02-07T00:00:00"/>
    <n v="11520"/>
    <n v="35.32"/>
    <n v="39.14"/>
    <d v="2025-03-14T00:00:00"/>
    <x v="220"/>
    <n v="11520"/>
    <s v="Standard"/>
    <n v="1"/>
    <n v="1"/>
    <n v="1"/>
    <x v="15"/>
    <x v="2"/>
    <n v="45689"/>
    <n v="406886.40000000002"/>
    <n v="450892.79999999999"/>
    <n v="-44006.400000000001"/>
  </r>
  <r>
    <x v="278"/>
    <s v="M12"/>
    <x v="11"/>
    <x v="5"/>
    <s v="each"/>
    <s v="S11"/>
    <x v="8"/>
    <d v="2025-02-03T00:00:00"/>
    <d v="2025-02-04T00:00:00"/>
    <n v="12.914999999999999"/>
    <n v="9707.75"/>
    <n v="9980.7000000000007"/>
    <d v="2025-04-08T00:00:00"/>
    <x v="221"/>
    <n v="12.914999999999999"/>
    <s v="Standard"/>
    <n v="1"/>
    <n v="1"/>
    <n v="1"/>
    <x v="44"/>
    <x v="2"/>
    <n v="45689"/>
    <n v="125375.59125"/>
    <n v="128900.7405"/>
    <n v="-3525.149250000009"/>
  </r>
  <r>
    <x v="279"/>
    <s v="M13"/>
    <x v="12"/>
    <x v="6"/>
    <s v="kg"/>
    <s v="S12"/>
    <x v="9"/>
    <d v="2025-02-03T00:00:00"/>
    <d v="2025-02-04T00:00:00"/>
    <n v="76.846000000000004"/>
    <n v="3929.52"/>
    <n v="4017"/>
    <d v="2025-04-15T00:00:00"/>
    <x v="222"/>
    <n v="76.846000000000004"/>
    <s v="Standard"/>
    <n v="1"/>
    <n v="1"/>
    <n v="1"/>
    <x v="16"/>
    <x v="2"/>
    <n v="45689"/>
    <n v="301967.89392"/>
    <n v="308690.38200000004"/>
    <n v="-6722.4880800000019"/>
  </r>
  <r>
    <x v="280"/>
    <s v="M20"/>
    <x v="19"/>
    <x v="12"/>
    <s v="kit"/>
    <s v="S18"/>
    <x v="15"/>
    <d v="2025-02-05T00:00:00"/>
    <d v="2025-02-08T00:00:00"/>
    <n v="52371.892999999996"/>
    <n v="6.63"/>
    <n v="6.7"/>
    <d v="2025-04-05T00:00:00"/>
    <x v="221"/>
    <n v="52371.892999999996"/>
    <s v="Standard"/>
    <n v="0"/>
    <n v="1"/>
    <n v="0"/>
    <x v="53"/>
    <x v="2"/>
    <n v="45689"/>
    <n v="347225.65058999998"/>
    <n v="350891.68309999997"/>
    <n v="-3666.0325100000146"/>
  </r>
  <r>
    <x v="281"/>
    <s v="M03"/>
    <x v="2"/>
    <x v="2"/>
    <s v="liter"/>
    <s v="S06"/>
    <x v="2"/>
    <d v="2025-02-10T00:00:00"/>
    <d v="2025-02-11T00:00:00"/>
    <n v="34563.953000000001"/>
    <n v="9.35"/>
    <n v="9.7799999999999994"/>
    <d v="2025-03-04T00:00:00"/>
    <x v="223"/>
    <n v="34563.953000000001"/>
    <s v="Standard"/>
    <n v="1"/>
    <n v="1"/>
    <n v="1"/>
    <x v="8"/>
    <x v="2"/>
    <n v="45689"/>
    <n v="323172.96055000002"/>
    <n v="338035.46033999999"/>
    <n v="-14862.499789999991"/>
  </r>
  <r>
    <x v="282"/>
    <s v="M04"/>
    <x v="3"/>
    <x v="3"/>
    <s v="cylinder"/>
    <s v="S05"/>
    <x v="3"/>
    <d v="2025-02-12T00:00:00"/>
    <d v="2025-02-13T00:00:00"/>
    <n v="142.59"/>
    <n v="1820.41"/>
    <n v="1905.5"/>
    <d v="2025-04-10T00:00:00"/>
    <x v="224"/>
    <n v="142.59"/>
    <s v="Standard"/>
    <n v="1"/>
    <n v="1"/>
    <n v="1"/>
    <x v="29"/>
    <x v="2"/>
    <n v="45689"/>
    <n v="259572.26190000001"/>
    <n v="271705.245"/>
    <n v="-12132.983099999989"/>
  </r>
  <r>
    <x v="283"/>
    <s v="M11"/>
    <x v="10"/>
    <x v="4"/>
    <s v="each"/>
    <s v="S10"/>
    <x v="7"/>
    <d v="2025-02-12T00:00:00"/>
    <d v="2025-02-13T00:00:00"/>
    <n v="230.4"/>
    <n v="519.25"/>
    <n v="535.6"/>
    <d v="2025-03-20T00:00:00"/>
    <x v="206"/>
    <n v="230.4"/>
    <s v="Standard"/>
    <n v="1"/>
    <n v="1"/>
    <n v="1"/>
    <x v="28"/>
    <x v="2"/>
    <n v="45689"/>
    <n v="119635.2"/>
    <n v="123402.24000000001"/>
    <n v="-3767.0400000000054"/>
  </r>
  <r>
    <x v="284"/>
    <s v="M16"/>
    <x v="15"/>
    <x v="9"/>
    <s v="each"/>
    <s v="S16"/>
    <x v="13"/>
    <d v="2025-02-12T00:00:00"/>
    <d v="2025-02-15T00:00:00"/>
    <n v="18725708.824999999"/>
    <n v="9.69E-2"/>
    <n v="0.1133"/>
    <d v="2025-04-26T00:00:00"/>
    <x v="225"/>
    <n v="18725708.824999999"/>
    <s v="Standard"/>
    <n v="1"/>
    <n v="1"/>
    <n v="1"/>
    <x v="21"/>
    <x v="2"/>
    <n v="45689"/>
    <n v="1814521.1851424999"/>
    <n v="2121622.8098724997"/>
    <n v="-307101.62472999992"/>
  </r>
  <r>
    <x v="285"/>
    <s v="M17"/>
    <x v="16"/>
    <x v="10"/>
    <s v="meter"/>
    <s v="S16"/>
    <x v="13"/>
    <d v="2025-02-11T00:00:00"/>
    <d v="2025-02-14T00:00:00"/>
    <n v="11235425.295"/>
    <n v="4.0000000000000001E-3"/>
    <n v="4.1000000000000003E-3"/>
    <d v="2025-03-21T00:00:00"/>
    <x v="226"/>
    <n v="11235425.295"/>
    <s v="Standard"/>
    <n v="1"/>
    <n v="1"/>
    <n v="1"/>
    <x v="15"/>
    <x v="2"/>
    <n v="45689"/>
    <n v="44941.701180000004"/>
    <n v="46065.243709500006"/>
    <n v="-1123.542529500003"/>
  </r>
  <r>
    <x v="286"/>
    <s v="M18"/>
    <x v="17"/>
    <x v="10"/>
    <s v="gram"/>
    <s v="S16"/>
    <x v="13"/>
    <d v="2025-02-10T00:00:00"/>
    <d v="2025-02-12T00:00:00"/>
    <n v="6553998.0889999997"/>
    <n v="2.0400000000000001E-2"/>
    <n v="2.06E-2"/>
    <d v="2025-03-19T00:00:00"/>
    <x v="227"/>
    <n v="6553998.0889999997"/>
    <s v="Standard"/>
    <n v="1"/>
    <n v="1"/>
    <n v="1"/>
    <x v="15"/>
    <x v="2"/>
    <n v="45689"/>
    <n v="133701.56101559999"/>
    <n v="135012.36063340001"/>
    <n v="-1310.7996177999919"/>
  </r>
  <r>
    <x v="287"/>
    <s v="M21"/>
    <x v="20"/>
    <x v="13"/>
    <s v="each"/>
    <s v="S19"/>
    <x v="16"/>
    <d v="2025-02-12T00:00:00"/>
    <d v="2025-02-16T00:00:00"/>
    <n v="18776952.888"/>
    <n v="1.2E-2"/>
    <n v="1.24E-2"/>
    <d v="2025-03-02T00:00:00"/>
    <x v="228"/>
    <n v="18776952.888"/>
    <s v="Standard"/>
    <n v="1"/>
    <n v="1"/>
    <n v="1"/>
    <x v="20"/>
    <x v="2"/>
    <n v="45689"/>
    <n v="225323.434656"/>
    <n v="232834.2158112"/>
    <n v="-7510.7811551999876"/>
  </r>
  <r>
    <x v="288"/>
    <s v="M05"/>
    <x v="4"/>
    <x v="3"/>
    <s v="kg"/>
    <s v="S08"/>
    <x v="5"/>
    <d v="2025-02-18T00:00:00"/>
    <d v="2025-02-22T00:00:00"/>
    <n v="17280"/>
    <n v="26.76"/>
    <n v="28.84"/>
    <d v="2025-04-05T00:00:00"/>
    <x v="190"/>
    <n v="17280"/>
    <s v="Standard"/>
    <n v="1"/>
    <n v="1"/>
    <n v="1"/>
    <x v="5"/>
    <x v="2"/>
    <n v="45689"/>
    <n v="462412.80000000005"/>
    <n v="498355.20000000001"/>
    <n v="-35942.399999999972"/>
  </r>
  <r>
    <x v="289"/>
    <s v="M06"/>
    <x v="5"/>
    <x v="3"/>
    <s v="kg"/>
    <s v="S07"/>
    <x v="4"/>
    <d v="2025-02-18T00:00:00"/>
    <d v="2025-02-19T00:00:00"/>
    <n v="1536"/>
    <n v="415.03"/>
    <n v="434.97"/>
    <d v="2025-04-02T00:00:00"/>
    <x v="229"/>
    <n v="1474.232"/>
    <s v="Standard"/>
    <n v="1"/>
    <n v="0"/>
    <n v="0"/>
    <x v="5"/>
    <x v="2"/>
    <n v="45689"/>
    <n v="611850.50695999991"/>
    <n v="641246.69304000004"/>
    <n v="-29396.18608000008"/>
  </r>
  <r>
    <x v="290"/>
    <s v="M07"/>
    <x v="6"/>
    <x v="3"/>
    <s v="kg"/>
    <s v="S08"/>
    <x v="5"/>
    <d v="2025-02-25T00:00:00"/>
    <d v="2025-02-26T00:00:00"/>
    <n v="2304.223"/>
    <n v="161.99"/>
    <n v="164.8"/>
    <d v="2025-03-26T00:00:00"/>
    <x v="230"/>
    <n v="2304.223"/>
    <s v="Standard"/>
    <n v="1"/>
    <n v="1"/>
    <n v="1"/>
    <x v="24"/>
    <x v="2"/>
    <n v="45689"/>
    <n v="373261.08377000003"/>
    <n v="379735.95040000003"/>
    <n v="-6474.866630000005"/>
  </r>
  <r>
    <x v="291"/>
    <s v="M08"/>
    <x v="7"/>
    <x v="2"/>
    <s v="liter"/>
    <s v="S09"/>
    <x v="6"/>
    <d v="2025-02-25T00:00:00"/>
    <d v="2025-02-28T00:00:00"/>
    <n v="115207.327"/>
    <n v="4.0999999999999996"/>
    <n v="4.17"/>
    <d v="2025-03-21T00:00:00"/>
    <x v="226"/>
    <n v="115207.327"/>
    <s v="Standard"/>
    <n v="1"/>
    <n v="1"/>
    <n v="1"/>
    <x v="8"/>
    <x v="2"/>
    <n v="45689"/>
    <n v="472350.04069999995"/>
    <n v="480414.55359000002"/>
    <n v="-8064.5128900000327"/>
  </r>
  <r>
    <x v="292"/>
    <s v="M14"/>
    <x v="13"/>
    <x v="7"/>
    <s v="kit"/>
    <s v="S13"/>
    <x v="10"/>
    <d v="2025-02-25T00:00:00"/>
    <d v="2025-02-28T00:00:00"/>
    <n v="15.36"/>
    <n v="6165.4"/>
    <n v="6386"/>
    <d v="2025-04-18T00:00:00"/>
    <x v="222"/>
    <n v="14.727"/>
    <s v="Standard"/>
    <n v="1"/>
    <n v="0"/>
    <n v="0"/>
    <x v="13"/>
    <x v="2"/>
    <n v="45689"/>
    <n v="90797.845799999996"/>
    <n v="94046.622000000003"/>
    <n v="-3248.7762000000052"/>
  </r>
  <r>
    <x v="293"/>
    <s v="M15"/>
    <x v="14"/>
    <x v="8"/>
    <s v="kit"/>
    <s v="S14"/>
    <x v="11"/>
    <d v="2025-02-25T00:00:00"/>
    <d v="2025-02-28T00:00:00"/>
    <n v="2.3660000000000001"/>
    <n v="53781.57"/>
    <n v="49440"/>
    <d v="2025-04-11T00:00:00"/>
    <x v="231"/>
    <n v="2.3660000000000001"/>
    <s v="Expedite"/>
    <n v="0"/>
    <n v="1"/>
    <n v="0"/>
    <x v="59"/>
    <x v="2"/>
    <n v="45689"/>
    <n v="127247.19462000001"/>
    <n v="116975.04000000001"/>
    <n v="10272.154619999999"/>
  </r>
  <r>
    <x v="294"/>
    <s v="M19"/>
    <x v="18"/>
    <x v="11"/>
    <s v="each"/>
    <s v="S17"/>
    <x v="14"/>
    <d v="2025-02-25T00:00:00"/>
    <d v="2025-02-28T00:00:00"/>
    <n v="1.623"/>
    <n v="65726.759999999995"/>
    <n v="66950"/>
    <d v="2025-05-09T00:00:00"/>
    <x v="232"/>
    <n v="1.623"/>
    <s v="Standard"/>
    <n v="1"/>
    <n v="1"/>
    <n v="1"/>
    <x v="21"/>
    <x v="2"/>
    <n v="45689"/>
    <n v="106674.53147999999"/>
    <n v="108659.85"/>
    <n v="-1985.3185200000084"/>
  </r>
  <r>
    <x v="295"/>
    <s v="M01"/>
    <x v="0"/>
    <x v="0"/>
    <s v="wafer"/>
    <s v="S02"/>
    <x v="17"/>
    <d v="2025-03-04T00:00:00"/>
    <d v="2025-03-05T00:00:00"/>
    <n v="19200"/>
    <n v="103.99"/>
    <n v="107.13"/>
    <d v="2025-04-16T00:00:00"/>
    <x v="233"/>
    <n v="19200"/>
    <s v="Standard"/>
    <n v="1"/>
    <n v="1"/>
    <n v="1"/>
    <x v="27"/>
    <x v="2"/>
    <n v="45717"/>
    <n v="1996608"/>
    <n v="2056896"/>
    <n v="-60288.000000000015"/>
  </r>
  <r>
    <x v="296"/>
    <s v="M10"/>
    <x v="9"/>
    <x v="4"/>
    <s v="liter"/>
    <s v="S06"/>
    <x v="2"/>
    <d v="2025-03-03T00:00:00"/>
    <d v="2025-03-04T00:00:00"/>
    <n v="11529.948"/>
    <n v="36.85"/>
    <n v="39.14"/>
    <d v="2025-04-08T00:00:00"/>
    <x v="234"/>
    <n v="11529.948"/>
    <s v="Standard"/>
    <n v="1"/>
    <n v="1"/>
    <n v="1"/>
    <x v="28"/>
    <x v="2"/>
    <n v="45717"/>
    <n v="424878.58380000002"/>
    <n v="451282.16472"/>
    <n v="-26403.580919999989"/>
  </r>
  <r>
    <x v="297"/>
    <s v="M13"/>
    <x v="12"/>
    <x v="6"/>
    <s v="kg"/>
    <s v="S12"/>
    <x v="9"/>
    <d v="2025-03-04T00:00:00"/>
    <d v="2025-03-05T00:00:00"/>
    <n v="76.8"/>
    <n v="4010.5"/>
    <n v="4017"/>
    <d v="2025-05-14T00:00:00"/>
    <x v="235"/>
    <n v="76.8"/>
    <s v="Standard"/>
    <n v="1"/>
    <n v="1"/>
    <n v="1"/>
    <x v="16"/>
    <x v="2"/>
    <n v="45717"/>
    <n v="308006.39999999997"/>
    <n v="308505.59999999998"/>
    <n v="-499.2"/>
  </r>
  <r>
    <x v="298"/>
    <s v="M20"/>
    <x v="19"/>
    <x v="12"/>
    <s v="kit"/>
    <s v="S18"/>
    <x v="15"/>
    <d v="2025-03-04T00:00:00"/>
    <d v="2025-03-06T00:00:00"/>
    <n v="59907.845000000001"/>
    <n v="6.34"/>
    <n v="6.7"/>
    <d v="2025-05-01T00:00:00"/>
    <x v="236"/>
    <n v="59907.845000000001"/>
    <s v="Standard"/>
    <n v="1"/>
    <n v="1"/>
    <n v="1"/>
    <x v="29"/>
    <x v="2"/>
    <n v="45717"/>
    <n v="379815.73729999998"/>
    <n v="401382.56150000001"/>
    <n v="-21566.824200000021"/>
  </r>
  <r>
    <x v="299"/>
    <s v="M03"/>
    <x v="2"/>
    <x v="2"/>
    <s v="liter"/>
    <s v="S06"/>
    <x v="2"/>
    <d v="2025-03-11T00:00:00"/>
    <d v="2025-03-12T00:00:00"/>
    <n v="34562.99"/>
    <n v="9.5"/>
    <n v="9.7799999999999994"/>
    <d v="2025-04-02T00:00:00"/>
    <x v="215"/>
    <n v="34562.99"/>
    <s v="Standard"/>
    <n v="1"/>
    <n v="1"/>
    <n v="1"/>
    <x v="2"/>
    <x v="2"/>
    <n v="45717"/>
    <n v="328348.40499999997"/>
    <n v="338026.04219999997"/>
    <n v="-9677.6371999999774"/>
  </r>
  <r>
    <x v="300"/>
    <s v="M04"/>
    <x v="3"/>
    <x v="3"/>
    <s v="cylinder"/>
    <s v="S05"/>
    <x v="3"/>
    <d v="2025-03-11T00:00:00"/>
    <d v="2025-03-12T00:00:00"/>
    <n v="115.265"/>
    <n v="1863.44"/>
    <n v="1905.5"/>
    <d v="2025-05-07T00:00:00"/>
    <x v="237"/>
    <n v="115.265"/>
    <s v="Standard"/>
    <n v="1"/>
    <n v="1"/>
    <n v="1"/>
    <x v="17"/>
    <x v="2"/>
    <n v="45717"/>
    <n v="214789.41160000002"/>
    <n v="219637.45749999999"/>
    <n v="-4848.0458999999937"/>
  </r>
  <r>
    <x v="301"/>
    <s v="M09"/>
    <x v="8"/>
    <x v="2"/>
    <s v="liter"/>
    <s v="S09"/>
    <x v="6"/>
    <d v="2025-03-12T00:00:00"/>
    <d v="2025-03-14T00:00:00"/>
    <n v="59576.639999999999"/>
    <n v="6.82"/>
    <n v="7"/>
    <d v="2025-04-04T00:00:00"/>
    <x v="221"/>
    <n v="59576.639999999999"/>
    <s v="Standard"/>
    <n v="0"/>
    <n v="1"/>
    <n v="0"/>
    <x v="56"/>
    <x v="2"/>
    <n v="45717"/>
    <n v="406312.68479999999"/>
    <n v="417036.48"/>
    <n v="-10723.795199999982"/>
  </r>
  <r>
    <x v="302"/>
    <s v="M11"/>
    <x v="10"/>
    <x v="4"/>
    <s v="each"/>
    <s v="S10"/>
    <x v="7"/>
    <d v="2025-03-11T00:00:00"/>
    <d v="2025-03-15T00:00:00"/>
    <n v="230.41800000000001"/>
    <n v="517.4"/>
    <n v="535.6"/>
    <d v="2025-04-19T00:00:00"/>
    <x v="238"/>
    <n v="230.41800000000001"/>
    <s v="Standard"/>
    <n v="1"/>
    <n v="1"/>
    <n v="1"/>
    <x v="15"/>
    <x v="2"/>
    <n v="45717"/>
    <n v="119218.2732"/>
    <n v="123411.88080000001"/>
    <n v="-4193.6076000000103"/>
  </r>
  <r>
    <x v="303"/>
    <s v="M12"/>
    <x v="11"/>
    <x v="5"/>
    <s v="each"/>
    <s v="S11"/>
    <x v="8"/>
    <d v="2025-03-11T00:00:00"/>
    <d v="2025-03-12T00:00:00"/>
    <n v="14.4"/>
    <n v="9633.66"/>
    <n v="9980.7000000000007"/>
    <d v="2025-05-14T00:00:00"/>
    <x v="239"/>
    <n v="14.4"/>
    <s v="Standard"/>
    <n v="1"/>
    <n v="1"/>
    <n v="1"/>
    <x v="11"/>
    <x v="2"/>
    <n v="45717"/>
    <n v="138724.704"/>
    <n v="143722.08000000002"/>
    <n v="-4997.3760000000129"/>
  </r>
  <r>
    <x v="304"/>
    <s v="M16"/>
    <x v="15"/>
    <x v="9"/>
    <s v="each"/>
    <s v="S16"/>
    <x v="13"/>
    <d v="2025-03-12T00:00:00"/>
    <d v="2025-03-14T00:00:00"/>
    <n v="18769983.263999999"/>
    <n v="9.6699999999999994E-2"/>
    <n v="0.1133"/>
    <d v="2025-05-23T00:00:00"/>
    <x v="240"/>
    <n v="18769983.263999999"/>
    <s v="Standard"/>
    <n v="1"/>
    <n v="1"/>
    <n v="1"/>
    <x v="31"/>
    <x v="2"/>
    <n v="45717"/>
    <n v="1815057.3816287997"/>
    <n v="2126639.1038111998"/>
    <n v="-311581.72218240006"/>
  </r>
  <r>
    <x v="305"/>
    <s v="M19"/>
    <x v="18"/>
    <x v="11"/>
    <s v="each"/>
    <s v="S17"/>
    <x v="14"/>
    <d v="2025-03-11T00:00:00"/>
    <d v="2025-03-16T00:00:00"/>
    <n v="1"/>
    <n v="66347.34"/>
    <n v="66950"/>
    <d v="2025-05-25T00:00:00"/>
    <x v="241"/>
    <n v="1"/>
    <s v="Standard"/>
    <n v="1"/>
    <n v="1"/>
    <n v="1"/>
    <x v="16"/>
    <x v="2"/>
    <n v="45717"/>
    <n v="66347.34"/>
    <n v="66950"/>
    <n v="-602.66000000000349"/>
  </r>
  <r>
    <x v="306"/>
    <s v="M05"/>
    <x v="4"/>
    <x v="3"/>
    <s v="kg"/>
    <s v="S08"/>
    <x v="5"/>
    <d v="2025-03-17T00:00:00"/>
    <d v="2025-03-19T00:00:00"/>
    <n v="17280.357"/>
    <n v="26.43"/>
    <n v="28.84"/>
    <d v="2025-04-30T00:00:00"/>
    <x v="242"/>
    <n v="17280.357"/>
    <s v="Standard"/>
    <n v="1"/>
    <n v="1"/>
    <n v="1"/>
    <x v="0"/>
    <x v="2"/>
    <n v="45717"/>
    <n v="456719.83551"/>
    <n v="498365.49588"/>
    <n v="-41645.660370000005"/>
  </r>
  <r>
    <x v="307"/>
    <s v="M06"/>
    <x v="5"/>
    <x v="3"/>
    <s v="kg"/>
    <s v="S07"/>
    <x v="4"/>
    <d v="2025-03-19T00:00:00"/>
    <d v="2025-03-21T00:00:00"/>
    <n v="1541.6210000000001"/>
    <n v="417.89"/>
    <n v="434.97"/>
    <d v="2025-05-02T00:00:00"/>
    <x v="202"/>
    <n v="1541.6210000000001"/>
    <s v="Standard"/>
    <n v="1"/>
    <n v="1"/>
    <n v="1"/>
    <x v="27"/>
    <x v="2"/>
    <n v="45717"/>
    <n v="644227.99968999997"/>
    <n v="670558.88637000008"/>
    <n v="-26330.886680000065"/>
  </r>
  <r>
    <x v="308"/>
    <s v="M17"/>
    <x v="16"/>
    <x v="10"/>
    <s v="meter"/>
    <s v="S18"/>
    <x v="15"/>
    <d v="2025-03-18T00:00:00"/>
    <d v="2025-03-19T00:00:00"/>
    <n v="13304760.812000001"/>
    <n v="4.1000000000000003E-3"/>
    <n v="4.1000000000000003E-3"/>
    <d v="2025-04-23T00:00:00"/>
    <x v="243"/>
    <n v="13304760.812000001"/>
    <s v="Standard"/>
    <n v="1"/>
    <n v="1"/>
    <n v="1"/>
    <x v="10"/>
    <x v="2"/>
    <n v="45717"/>
    <n v="54549.519329200011"/>
    <n v="54549.519329200011"/>
    <n v="0"/>
  </r>
  <r>
    <x v="309"/>
    <s v="M18"/>
    <x v="17"/>
    <x v="10"/>
    <s v="gram"/>
    <s v="S16"/>
    <x v="13"/>
    <d v="2025-03-19T00:00:00"/>
    <d v="2025-03-20T00:00:00"/>
    <n v="7762572.9100000001"/>
    <n v="1.9900000000000001E-2"/>
    <n v="2.06E-2"/>
    <d v="2025-04-24T00:00:00"/>
    <x v="244"/>
    <n v="7762572.9100000001"/>
    <s v="Standard"/>
    <n v="1"/>
    <n v="1"/>
    <n v="1"/>
    <x v="9"/>
    <x v="2"/>
    <n v="45717"/>
    <n v="154475.20090900001"/>
    <n v="159909.001946"/>
    <n v="-5433.8010369999938"/>
  </r>
  <r>
    <x v="310"/>
    <s v="M21"/>
    <x v="20"/>
    <x v="13"/>
    <s v="each"/>
    <s v="S19"/>
    <x v="16"/>
    <d v="2025-03-19T00:00:00"/>
    <d v="2025-03-24T00:00:00"/>
    <n v="22235501.592"/>
    <n v="1.21E-2"/>
    <n v="1.24E-2"/>
    <d v="2025-04-07T00:00:00"/>
    <x v="245"/>
    <n v="22235501.592"/>
    <s v="Standard"/>
    <n v="1"/>
    <n v="1"/>
    <n v="1"/>
    <x v="18"/>
    <x v="2"/>
    <n v="45717"/>
    <n v="269049.56926319998"/>
    <n v="275720.21974079998"/>
    <n v="-6670.6504775999983"/>
  </r>
  <r>
    <x v="311"/>
    <s v="M07"/>
    <x v="6"/>
    <x v="3"/>
    <s v="kg"/>
    <s v="S08"/>
    <x v="5"/>
    <d v="2025-03-25T00:00:00"/>
    <d v="2025-03-26T00:00:00"/>
    <n v="2304.56"/>
    <n v="158"/>
    <n v="164.8"/>
    <d v="2025-04-23T00:00:00"/>
    <x v="246"/>
    <n v="2304.56"/>
    <s v="Standard"/>
    <n v="1"/>
    <n v="1"/>
    <n v="1"/>
    <x v="43"/>
    <x v="2"/>
    <n v="45717"/>
    <n v="364120.48"/>
    <n v="379791.48800000001"/>
    <n v="-15671.008000000025"/>
  </r>
  <r>
    <x v="312"/>
    <s v="M08"/>
    <x v="7"/>
    <x v="2"/>
    <s v="liter"/>
    <s v="S06"/>
    <x v="2"/>
    <d v="2025-03-26T00:00:00"/>
    <d v="2025-03-30T00:00:00"/>
    <n v="115339.749"/>
    <n v="4.07"/>
    <n v="4.17"/>
    <d v="2025-04-20T00:00:00"/>
    <x v="238"/>
    <n v="111482.693"/>
    <s v="Standard"/>
    <n v="1"/>
    <n v="0"/>
    <n v="0"/>
    <x v="2"/>
    <x v="2"/>
    <n v="45717"/>
    <n v="453734.56051000004"/>
    <n v="464882.82980999997"/>
    <n v="-11148.26929999996"/>
  </r>
  <r>
    <x v="313"/>
    <s v="M19"/>
    <x v="18"/>
    <x v="11"/>
    <s v="each"/>
    <s v="S17"/>
    <x v="14"/>
    <d v="2025-03-25T00:00:00"/>
    <d v="2025-03-27T00:00:00"/>
    <n v="1.946"/>
    <n v="71673.440000000002"/>
    <n v="66950"/>
    <d v="2025-04-17T00:00:00"/>
    <x v="247"/>
    <n v="1.946"/>
    <s v="Expedite"/>
    <n v="1"/>
    <n v="1"/>
    <n v="1"/>
    <x v="2"/>
    <x v="2"/>
    <n v="45717"/>
    <n v="139476.51423999999"/>
    <n v="130284.7"/>
    <n v="9191.8142400000052"/>
  </r>
  <r>
    <x v="314"/>
    <s v="M01"/>
    <x v="0"/>
    <x v="0"/>
    <s v="wafer"/>
    <s v="S02"/>
    <x v="17"/>
    <d v="2025-04-01T00:00:00"/>
    <d v="2025-04-02T00:00:00"/>
    <n v="19204.530999999999"/>
    <n v="104.84"/>
    <n v="107.13"/>
    <d v="2025-05-14T00:00:00"/>
    <x v="239"/>
    <n v="19204.530999999999"/>
    <s v="Standard"/>
    <n v="1"/>
    <n v="1"/>
    <n v="1"/>
    <x v="5"/>
    <x v="2"/>
    <n v="45748"/>
    <n v="2013403.0300399999"/>
    <n v="2057381.4060299997"/>
    <n v="-43978.375989999848"/>
  </r>
  <r>
    <x v="315"/>
    <s v="M10"/>
    <x v="9"/>
    <x v="4"/>
    <s v="liter"/>
    <s v="S06"/>
    <x v="2"/>
    <d v="2025-04-01T00:00:00"/>
    <d v="2025-04-03T00:00:00"/>
    <n v="11526.138000000001"/>
    <n v="35.49"/>
    <n v="39.14"/>
    <d v="2025-05-08T00:00:00"/>
    <x v="248"/>
    <n v="11526.138000000001"/>
    <s v="Standard"/>
    <n v="1"/>
    <n v="1"/>
    <n v="1"/>
    <x v="15"/>
    <x v="2"/>
    <n v="45748"/>
    <n v="409062.63762000005"/>
    <n v="451133.04132000002"/>
    <n v="-42070.403699999988"/>
  </r>
  <r>
    <x v="316"/>
    <s v="M13"/>
    <x v="12"/>
    <x v="6"/>
    <s v="kg"/>
    <s v="S12"/>
    <x v="9"/>
    <d v="2025-03-31T00:00:00"/>
    <d v="2025-04-01T00:00:00"/>
    <n v="76.861999999999995"/>
    <n v="4119.82"/>
    <n v="4017"/>
    <d v="2025-06-10T00:00:00"/>
    <x v="249"/>
    <n v="76.861999999999995"/>
    <s v="Standard"/>
    <n v="0"/>
    <n v="1"/>
    <n v="0"/>
    <x v="60"/>
    <x v="2"/>
    <n v="45748"/>
    <n v="316657.60483999993"/>
    <n v="308754.65399999998"/>
    <n v="7902.9508399999768"/>
  </r>
  <r>
    <x v="317"/>
    <s v="M14"/>
    <x v="13"/>
    <x v="7"/>
    <s v="kit"/>
    <s v="S13"/>
    <x v="10"/>
    <d v="2025-03-31T00:00:00"/>
    <d v="2025-04-01T00:00:00"/>
    <n v="19.149999999999999"/>
    <n v="6058.9"/>
    <n v="6386"/>
    <d v="2025-05-20T00:00:00"/>
    <x v="250"/>
    <n v="19.149999999999999"/>
    <s v="Standard"/>
    <n v="1"/>
    <n v="1"/>
    <n v="1"/>
    <x v="42"/>
    <x v="2"/>
    <n v="45748"/>
    <n v="116027.93499999998"/>
    <n v="122291.9"/>
    <n v="-6263.9650000000065"/>
  </r>
  <r>
    <x v="318"/>
    <s v="M20"/>
    <x v="19"/>
    <x v="12"/>
    <s v="kit"/>
    <s v="S18"/>
    <x v="15"/>
    <d v="2025-03-31T00:00:00"/>
    <d v="2025-04-01T00:00:00"/>
    <n v="68534.494999999995"/>
    <n v="7.15"/>
    <n v="6.7"/>
    <d v="2025-04-15T00:00:00"/>
    <x v="251"/>
    <n v="68534.494999999995"/>
    <s v="Expedite"/>
    <n v="1"/>
    <n v="1"/>
    <n v="1"/>
    <x v="18"/>
    <x v="2"/>
    <n v="45748"/>
    <n v="490021.63925000001"/>
    <n v="459181.1165"/>
    <n v="30840.522750000011"/>
  </r>
  <r>
    <x v="319"/>
    <s v="M03"/>
    <x v="2"/>
    <x v="2"/>
    <s v="liter"/>
    <s v="S09"/>
    <x v="6"/>
    <d v="2025-04-14T00:00:00"/>
    <d v="2025-04-16T00:00:00"/>
    <n v="43179.141000000003"/>
    <n v="8.8000000000000007"/>
    <n v="9.7799999999999994"/>
    <d v="2025-05-07T00:00:00"/>
    <x v="248"/>
    <n v="43179.141000000003"/>
    <s v="Standard"/>
    <n v="1"/>
    <n v="1"/>
    <n v="1"/>
    <x v="7"/>
    <x v="2"/>
    <n v="45748"/>
    <n v="379976.44080000004"/>
    <n v="422291.99898000003"/>
    <n v="-42315.558179999942"/>
  </r>
  <r>
    <x v="320"/>
    <s v="M04"/>
    <x v="3"/>
    <x v="3"/>
    <s v="cylinder"/>
    <s v="S05"/>
    <x v="3"/>
    <d v="2025-04-16T00:00:00"/>
    <d v="2025-04-18T00:00:00"/>
    <n v="120.36"/>
    <n v="1829.26"/>
    <n v="1905.5"/>
    <d v="2025-06-13T00:00:00"/>
    <x v="252"/>
    <n v="120.36"/>
    <s v="Standard"/>
    <n v="1"/>
    <n v="1"/>
    <n v="1"/>
    <x v="29"/>
    <x v="2"/>
    <n v="45748"/>
    <n v="220169.73360000001"/>
    <n v="229345.98"/>
    <n v="-9176.2464000000018"/>
  </r>
  <r>
    <x v="321"/>
    <s v="M06"/>
    <x v="5"/>
    <x v="3"/>
    <s v="kg"/>
    <s v="S07"/>
    <x v="4"/>
    <d v="2025-04-16T00:00:00"/>
    <d v="2025-04-18T00:00:00"/>
    <n v="1598.1410000000001"/>
    <n v="412.52"/>
    <n v="434.97"/>
    <d v="2025-05-30T00:00:00"/>
    <x v="253"/>
    <n v="1598.1410000000001"/>
    <s v="Standard"/>
    <n v="0"/>
    <n v="1"/>
    <n v="0"/>
    <x v="13"/>
    <x v="2"/>
    <n v="45748"/>
    <n v="659265.12531999999"/>
    <n v="695143.39077000006"/>
    <n v="-35878.265450000072"/>
  </r>
  <r>
    <x v="322"/>
    <s v="M09"/>
    <x v="8"/>
    <x v="2"/>
    <s v="liter"/>
    <s v="S09"/>
    <x v="6"/>
    <d v="2025-04-16T00:00:00"/>
    <d v="2025-04-18T00:00:00"/>
    <n v="55800.614000000001"/>
    <n v="6.85"/>
    <n v="7"/>
    <d v="2025-05-09T00:00:00"/>
    <x v="232"/>
    <n v="55800.614000000001"/>
    <s v="Standard"/>
    <n v="1"/>
    <n v="1"/>
    <n v="1"/>
    <x v="7"/>
    <x v="2"/>
    <n v="45748"/>
    <n v="382234.2059"/>
    <n v="390604.29800000001"/>
    <n v="-8370.0921000000199"/>
  </r>
  <r>
    <x v="323"/>
    <s v="M11"/>
    <x v="10"/>
    <x v="4"/>
    <s v="each"/>
    <s v="S10"/>
    <x v="7"/>
    <d v="2025-04-16T00:00:00"/>
    <d v="2025-04-19T00:00:00"/>
    <n v="287.87900000000002"/>
    <n v="511.71"/>
    <n v="535.6"/>
    <d v="2025-05-24T00:00:00"/>
    <x v="254"/>
    <n v="287.87900000000002"/>
    <s v="Standard"/>
    <n v="1"/>
    <n v="1"/>
    <n v="1"/>
    <x v="10"/>
    <x v="2"/>
    <n v="45748"/>
    <n v="147310.56309000001"/>
    <n v="154187.99240000002"/>
    <n v="-6877.4293100000132"/>
  </r>
  <r>
    <x v="324"/>
    <s v="M12"/>
    <x v="11"/>
    <x v="5"/>
    <s v="each"/>
    <s v="S11"/>
    <x v="8"/>
    <d v="2025-04-16T00:00:00"/>
    <d v="2025-04-17T00:00:00"/>
    <n v="14.385"/>
    <n v="9515.3700000000008"/>
    <n v="9980.7000000000007"/>
    <d v="2025-06-19T00:00:00"/>
    <x v="255"/>
    <n v="14.385"/>
    <s v="Standard"/>
    <n v="1"/>
    <n v="1"/>
    <n v="1"/>
    <x v="35"/>
    <x v="2"/>
    <n v="45748"/>
    <n v="136878.59745"/>
    <n v="143572.3695"/>
    <n v="-6693.7720499999987"/>
  </r>
  <r>
    <x v="325"/>
    <s v="M16"/>
    <x v="15"/>
    <x v="9"/>
    <s v="each"/>
    <s v="S16"/>
    <x v="13"/>
    <d v="2025-04-16T00:00:00"/>
    <d v="2025-04-18T00:00:00"/>
    <n v="21462543.067000002"/>
    <n v="9.6000000000000002E-2"/>
    <n v="0.1133"/>
    <d v="2025-06-27T00:00:00"/>
    <x v="256"/>
    <n v="21462543.067000002"/>
    <s v="Standard"/>
    <n v="1"/>
    <n v="1"/>
    <n v="1"/>
    <x v="31"/>
    <x v="2"/>
    <n v="45748"/>
    <n v="2060404.1344320001"/>
    <n v="2431706.1294911001"/>
    <n v="-371301.99505909992"/>
  </r>
  <r>
    <x v="326"/>
    <s v="M20"/>
    <x v="19"/>
    <x v="12"/>
    <s v="kit"/>
    <s v="S18"/>
    <x v="15"/>
    <d v="2025-04-16T00:00:00"/>
    <d v="2025-04-19T00:00:00"/>
    <n v="59353.279000000002"/>
    <n v="6.49"/>
    <n v="6.7"/>
    <d v="2025-06-14T00:00:00"/>
    <x v="257"/>
    <n v="59353.279000000002"/>
    <s v="Standard"/>
    <n v="1"/>
    <n v="1"/>
    <n v="1"/>
    <x v="17"/>
    <x v="2"/>
    <n v="45748"/>
    <n v="385202.78071000002"/>
    <n v="397666.9693"/>
    <n v="-12464.188589999998"/>
  </r>
  <r>
    <x v="327"/>
    <s v="M05"/>
    <x v="4"/>
    <x v="3"/>
    <s v="kg"/>
    <s v="S07"/>
    <x v="4"/>
    <d v="2025-04-22T00:00:00"/>
    <d v="2025-04-26T00:00:00"/>
    <n v="21610.769"/>
    <n v="26.37"/>
    <n v="28.84"/>
    <d v="2025-06-07T00:00:00"/>
    <x v="258"/>
    <n v="21610.769"/>
    <s v="Standard"/>
    <n v="1"/>
    <n v="1"/>
    <n v="1"/>
    <x v="0"/>
    <x v="2"/>
    <n v="45748"/>
    <n v="569875.97853000008"/>
    <n v="623254.57796000002"/>
    <n v="-53378.599429999973"/>
  </r>
  <r>
    <x v="328"/>
    <s v="M08"/>
    <x v="7"/>
    <x v="2"/>
    <s v="liter"/>
    <s v="S06"/>
    <x v="2"/>
    <d v="2025-04-22T00:00:00"/>
    <d v="2025-04-27T00:00:00"/>
    <n v="118914.054"/>
    <n v="4.03"/>
    <n v="4.17"/>
    <d v="2025-05-18T00:00:00"/>
    <x v="259"/>
    <n v="118914.054"/>
    <s v="Standard"/>
    <n v="1"/>
    <n v="1"/>
    <n v="1"/>
    <x v="8"/>
    <x v="2"/>
    <n v="45748"/>
    <n v="479223.63762000005"/>
    <n v="495871.60518000001"/>
    <n v="-16647.967559999961"/>
  </r>
  <r>
    <x v="329"/>
    <s v="M17"/>
    <x v="16"/>
    <x v="10"/>
    <s v="meter"/>
    <s v="S18"/>
    <x v="15"/>
    <d v="2025-04-22T00:00:00"/>
    <d v="2025-04-23T00:00:00"/>
    <n v="13301924.959000001"/>
    <n v="4.0000000000000001E-3"/>
    <n v="4.1000000000000003E-3"/>
    <d v="2025-05-28T00:00:00"/>
    <x v="241"/>
    <n v="13301924.959000001"/>
    <s v="Standard"/>
    <n v="1"/>
    <n v="1"/>
    <n v="1"/>
    <x v="10"/>
    <x v="2"/>
    <n v="45748"/>
    <n v="53207.699836000007"/>
    <n v="54537.89233190001"/>
    <n v="-1330.1924959000035"/>
  </r>
  <r>
    <x v="330"/>
    <s v="M18"/>
    <x v="17"/>
    <x v="10"/>
    <s v="gram"/>
    <s v="S16"/>
    <x v="13"/>
    <d v="2025-04-21T00:00:00"/>
    <d v="2025-04-23T00:00:00"/>
    <n v="7759232.0259999996"/>
    <n v="2.0500000000000001E-2"/>
    <n v="2.06E-2"/>
    <d v="2025-05-28T00:00:00"/>
    <x v="260"/>
    <n v="7759232.0259999996"/>
    <s v="Standard"/>
    <n v="1"/>
    <n v="1"/>
    <n v="1"/>
    <x v="15"/>
    <x v="2"/>
    <n v="45748"/>
    <n v="159064.25653300001"/>
    <n v="159840.17973559999"/>
    <n v="-775.92320259999531"/>
  </r>
  <r>
    <x v="331"/>
    <s v="M21"/>
    <x v="20"/>
    <x v="13"/>
    <s v="each"/>
    <s v="S16"/>
    <x v="13"/>
    <d v="2025-04-22T00:00:00"/>
    <d v="2025-04-23T00:00:00"/>
    <n v="22267196.140999999"/>
    <n v="1.06E-2"/>
    <n v="1.24E-2"/>
    <d v="2025-05-07T00:00:00"/>
    <x v="261"/>
    <n v="22267196.140999999"/>
    <s v="Standard"/>
    <n v="0"/>
    <n v="1"/>
    <n v="0"/>
    <x v="2"/>
    <x v="2"/>
    <n v="45748"/>
    <n v="236032.2790946"/>
    <n v="276113.23214839998"/>
    <n v="-40080.953053799989"/>
  </r>
  <r>
    <x v="332"/>
    <s v="M07"/>
    <x v="6"/>
    <x v="3"/>
    <s v="kg"/>
    <s v="S08"/>
    <x v="5"/>
    <d v="2025-04-28T00:00:00"/>
    <d v="2025-05-01T00:00:00"/>
    <n v="2877.1060000000002"/>
    <n v="158.9"/>
    <n v="164.8"/>
    <d v="2025-05-29T00:00:00"/>
    <x v="260"/>
    <n v="2877.1060000000002"/>
    <s v="Standard"/>
    <n v="1"/>
    <n v="1"/>
    <n v="1"/>
    <x v="6"/>
    <x v="2"/>
    <n v="45778"/>
    <n v="457172.14340000006"/>
    <n v="474147.06880000007"/>
    <n v="-16974.925400000018"/>
  </r>
  <r>
    <x v="333"/>
    <s v="M15"/>
    <x v="14"/>
    <x v="8"/>
    <s v="kit"/>
    <s v="S14"/>
    <x v="11"/>
    <d v="2025-04-30T00:00:00"/>
    <d v="2025-05-03T00:00:00"/>
    <n v="3.0190000000000001"/>
    <n v="48323.76"/>
    <n v="49440"/>
    <d v="2025-09-06T00:00:00"/>
    <x v="262"/>
    <n v="3.0190000000000001"/>
    <s v="Standard"/>
    <n v="0"/>
    <n v="1"/>
    <n v="0"/>
    <x v="61"/>
    <x v="2"/>
    <n v="45778"/>
    <n v="145889.43144000001"/>
    <n v="149259.36000000002"/>
    <n v="-3369.9285599999939"/>
  </r>
  <r>
    <x v="334"/>
    <s v="M01"/>
    <x v="0"/>
    <x v="0"/>
    <s v="wafer"/>
    <s v="S01"/>
    <x v="0"/>
    <d v="2025-05-07T00:00:00"/>
    <d v="2025-05-10T00:00:00"/>
    <n v="23994.069"/>
    <n v="102.91"/>
    <n v="107.13"/>
    <d v="2025-06-21T00:00:00"/>
    <x v="255"/>
    <n v="23994.069"/>
    <s v="Standard"/>
    <n v="1"/>
    <n v="1"/>
    <n v="1"/>
    <x v="5"/>
    <x v="2"/>
    <n v="45778"/>
    <n v="2469229.6407900001"/>
    <n v="2570484.61197"/>
    <n v="-101254.97117999996"/>
  </r>
  <r>
    <x v="335"/>
    <s v="M10"/>
    <x v="9"/>
    <x v="4"/>
    <s v="liter"/>
    <s v="S06"/>
    <x v="2"/>
    <d v="2025-05-06T00:00:00"/>
    <d v="2025-05-09T00:00:00"/>
    <n v="14401.512000000001"/>
    <n v="35.86"/>
    <n v="39.14"/>
    <d v="2025-06-13T00:00:00"/>
    <x v="249"/>
    <n v="14401.512000000001"/>
    <s v="Standard"/>
    <n v="0"/>
    <n v="1"/>
    <n v="0"/>
    <x v="62"/>
    <x v="2"/>
    <n v="45778"/>
    <n v="516438.22032000002"/>
    <n v="563675.17968000006"/>
    <n v="-47236.959360000015"/>
  </r>
  <r>
    <x v="336"/>
    <s v="M13"/>
    <x v="12"/>
    <x v="6"/>
    <s v="kg"/>
    <s v="S12"/>
    <x v="9"/>
    <d v="2025-05-07T00:00:00"/>
    <d v="2025-05-08T00:00:00"/>
    <n v="95.983000000000004"/>
    <n v="4111.18"/>
    <n v="4017"/>
    <d v="2025-07-17T00:00:00"/>
    <x v="263"/>
    <n v="83.054000000000002"/>
    <s v="Standard"/>
    <n v="1"/>
    <n v="0"/>
    <n v="0"/>
    <x v="1"/>
    <x v="2"/>
    <n v="45778"/>
    <n v="341449.94372000004"/>
    <n v="333627.91800000001"/>
    <n v="7822.0257200000242"/>
  </r>
  <r>
    <x v="337"/>
    <s v="M14"/>
    <x v="13"/>
    <x v="7"/>
    <s v="kit"/>
    <s v="S13"/>
    <x v="10"/>
    <d v="2025-05-07T00:00:00"/>
    <d v="2025-05-11T00:00:00"/>
    <n v="18.222999999999999"/>
    <n v="6263.16"/>
    <n v="6386"/>
    <d v="2025-06-29T00:00:00"/>
    <x v="264"/>
    <n v="18.222999999999999"/>
    <s v="Standard"/>
    <n v="0"/>
    <n v="1"/>
    <n v="0"/>
    <x v="63"/>
    <x v="2"/>
    <n v="45778"/>
    <n v="114133.56468"/>
    <n v="116372.07799999999"/>
    <n v="-2238.5133200000028"/>
  </r>
  <r>
    <x v="338"/>
    <s v="M20"/>
    <x v="19"/>
    <x v="12"/>
    <s v="kit"/>
    <s v="S18"/>
    <x v="15"/>
    <d v="2025-05-05T00:00:00"/>
    <d v="2025-05-08T00:00:00"/>
    <n v="63040.12"/>
    <n v="6.65"/>
    <n v="6.7"/>
    <d v="2025-07-03T00:00:00"/>
    <x v="265"/>
    <n v="63040.12"/>
    <s v="Standard"/>
    <n v="1"/>
    <n v="1"/>
    <n v="1"/>
    <x v="23"/>
    <x v="2"/>
    <n v="45778"/>
    <n v="419216.79800000007"/>
    <n v="422368.804"/>
    <n v="-3152.0059999999889"/>
  </r>
  <r>
    <x v="339"/>
    <s v="M03"/>
    <x v="2"/>
    <x v="2"/>
    <s v="liter"/>
    <s v="S09"/>
    <x v="6"/>
    <d v="2025-05-12T00:00:00"/>
    <d v="2025-05-16T00:00:00"/>
    <n v="34563.915999999997"/>
    <n v="8.9"/>
    <n v="9.7799999999999994"/>
    <d v="2025-06-06T00:00:00"/>
    <x v="266"/>
    <n v="34563.915999999997"/>
    <s v="Standard"/>
    <n v="1"/>
    <n v="1"/>
    <n v="1"/>
    <x v="7"/>
    <x v="2"/>
    <n v="45778"/>
    <n v="307618.85239999997"/>
    <n v="338035.09847999993"/>
    <n v="-30416.246079999964"/>
  </r>
  <r>
    <x v="340"/>
    <s v="M09"/>
    <x v="8"/>
    <x v="2"/>
    <s v="liter"/>
    <s v="S09"/>
    <x v="6"/>
    <d v="2025-05-13T00:00:00"/>
    <d v="2025-05-16T00:00:00"/>
    <n v="48041.163"/>
    <n v="6.75"/>
    <n v="7"/>
    <d v="2025-06-06T00:00:00"/>
    <x v="258"/>
    <n v="48041.163"/>
    <s v="Standard"/>
    <n v="1"/>
    <n v="1"/>
    <n v="1"/>
    <x v="8"/>
    <x v="2"/>
    <n v="45778"/>
    <n v="324277.85025000002"/>
    <n v="336288.141"/>
    <n v="-12010.29075"/>
  </r>
  <r>
    <x v="341"/>
    <s v="M11"/>
    <x v="10"/>
    <x v="4"/>
    <s v="each"/>
    <s v="S10"/>
    <x v="7"/>
    <d v="2025-05-14T00:00:00"/>
    <d v="2025-05-17T00:00:00"/>
    <n v="230.4"/>
    <n v="531.91"/>
    <n v="535.6"/>
    <d v="2025-06-21T00:00:00"/>
    <x v="267"/>
    <n v="230.4"/>
    <s v="Standard"/>
    <n v="0"/>
    <n v="1"/>
    <n v="0"/>
    <x v="0"/>
    <x v="2"/>
    <n v="45778"/>
    <n v="122552.064"/>
    <n v="123402.24000000001"/>
    <n v="-850.17600000001255"/>
  </r>
  <r>
    <x v="342"/>
    <s v="M04"/>
    <x v="3"/>
    <x v="3"/>
    <s v="cylinder"/>
    <s v="S05"/>
    <x v="3"/>
    <d v="2025-05-19T00:00:00"/>
    <d v="2025-05-21T00:00:00"/>
    <n v="143.50299999999999"/>
    <n v="1952.99"/>
    <n v="1905.5"/>
    <d v="2025-07-16T00:00:00"/>
    <x v="268"/>
    <n v="143.50299999999999"/>
    <s v="Standard"/>
    <n v="1"/>
    <n v="1"/>
    <n v="1"/>
    <x v="38"/>
    <x v="2"/>
    <n v="45778"/>
    <n v="280259.92396999995"/>
    <n v="273444.96649999998"/>
    <n v="6814.9574700000003"/>
  </r>
  <r>
    <x v="343"/>
    <s v="M06"/>
    <x v="5"/>
    <x v="3"/>
    <s v="kg"/>
    <s v="S07"/>
    <x v="4"/>
    <d v="2025-05-19T00:00:00"/>
    <d v="2025-05-20T00:00:00"/>
    <n v="1914.4580000000001"/>
    <n v="407.47"/>
    <n v="434.97"/>
    <d v="2025-07-01T00:00:00"/>
    <x v="264"/>
    <n v="1914.4580000000001"/>
    <s v="Standard"/>
    <n v="1"/>
    <n v="1"/>
    <n v="1"/>
    <x v="27"/>
    <x v="2"/>
    <n v="45778"/>
    <n v="780084.20126000012"/>
    <n v="832731.79626000009"/>
    <n v="-52647.595000000001"/>
  </r>
  <r>
    <x v="344"/>
    <s v="M12"/>
    <x v="11"/>
    <x v="5"/>
    <s v="each"/>
    <s v="S11"/>
    <x v="8"/>
    <d v="2025-05-19T00:00:00"/>
    <d v="2025-05-21T00:00:00"/>
    <n v="14.385"/>
    <n v="9588.42"/>
    <n v="9980.7000000000007"/>
    <d v="2025-07-23T00:00:00"/>
    <x v="269"/>
    <n v="14.385"/>
    <s v="Standard"/>
    <n v="1"/>
    <n v="1"/>
    <n v="1"/>
    <x v="64"/>
    <x v="2"/>
    <n v="45778"/>
    <n v="137929.42170000001"/>
    <n v="143572.3695"/>
    <n v="-5642.947800000009"/>
  </r>
  <r>
    <x v="345"/>
    <s v="M05"/>
    <x v="4"/>
    <x v="3"/>
    <s v="kg"/>
    <s v="S08"/>
    <x v="5"/>
    <d v="2025-05-26T00:00:00"/>
    <d v="2025-05-27T00:00:00"/>
    <n v="21555"/>
    <n v="27.18"/>
    <n v="28.84"/>
    <d v="2025-07-08T00:00:00"/>
    <x v="270"/>
    <n v="21555"/>
    <s v="Standard"/>
    <n v="0"/>
    <n v="1"/>
    <n v="0"/>
    <x v="63"/>
    <x v="2"/>
    <n v="45778"/>
    <n v="585864.9"/>
    <n v="621646.19999999995"/>
    <n v="-35781.300000000003"/>
  </r>
  <r>
    <x v="346"/>
    <s v="M08"/>
    <x v="7"/>
    <x v="2"/>
    <s v="liter"/>
    <s v="S06"/>
    <x v="2"/>
    <d v="2025-05-26T00:00:00"/>
    <d v="2025-05-29T00:00:00"/>
    <n v="143704.69099999999"/>
    <n v="4.0599999999999996"/>
    <n v="4.17"/>
    <d v="2025-06-19T00:00:00"/>
    <x v="271"/>
    <n v="143704.69099999999"/>
    <s v="Standard"/>
    <n v="1"/>
    <n v="1"/>
    <n v="1"/>
    <x v="7"/>
    <x v="2"/>
    <n v="45778"/>
    <n v="583441.04545999994"/>
    <n v="599248.56146999996"/>
    <n v="-15807.516010000045"/>
  </r>
  <r>
    <x v="347"/>
    <s v="M16"/>
    <x v="15"/>
    <x v="9"/>
    <s v="each"/>
    <s v="S15"/>
    <x v="12"/>
    <d v="2025-05-27T00:00:00"/>
    <d v="2025-05-30T00:00:00"/>
    <n v="21654680.019000001"/>
    <n v="9.7600000000000006E-2"/>
    <n v="0.1133"/>
    <d v="2025-08-08T00:00:00"/>
    <x v="272"/>
    <n v="21654680.019000001"/>
    <s v="Standard"/>
    <n v="0"/>
    <n v="1"/>
    <n v="0"/>
    <x v="52"/>
    <x v="2"/>
    <n v="45778"/>
    <n v="2113496.7698544003"/>
    <n v="2453475.2461526999"/>
    <n v="-339978.47629829985"/>
  </r>
  <r>
    <x v="348"/>
    <s v="M17"/>
    <x v="16"/>
    <x v="10"/>
    <s v="meter"/>
    <s v="S18"/>
    <x v="15"/>
    <d v="2025-05-27T00:00:00"/>
    <d v="2025-05-28T00:00:00"/>
    <n v="13414147.168"/>
    <n v="4.0000000000000001E-3"/>
    <n v="4.1000000000000003E-3"/>
    <d v="2025-07-02T00:00:00"/>
    <x v="273"/>
    <n v="13414147.168"/>
    <s v="Standard"/>
    <n v="1"/>
    <n v="1"/>
    <n v="1"/>
    <x v="10"/>
    <x v="2"/>
    <n v="45778"/>
    <n v="53656.588671999998"/>
    <n v="54998.003388800003"/>
    <n v="-1341.4147168000036"/>
  </r>
  <r>
    <x v="349"/>
    <s v="M18"/>
    <x v="17"/>
    <x v="10"/>
    <s v="gram"/>
    <s v="S16"/>
    <x v="13"/>
    <d v="2025-05-26T00:00:00"/>
    <d v="2025-05-29T00:00:00"/>
    <n v="7825694.1430000002"/>
    <n v="2.0199999999999999E-2"/>
    <n v="2.06E-2"/>
    <d v="2025-07-03T00:00:00"/>
    <x v="274"/>
    <n v="7825694.1430000002"/>
    <s v="Standard"/>
    <n v="1"/>
    <n v="1"/>
    <n v="1"/>
    <x v="10"/>
    <x v="2"/>
    <n v="45778"/>
    <n v="158079.02168859998"/>
    <n v="161209.29934580001"/>
    <n v="-3130.2776572000084"/>
  </r>
  <r>
    <x v="350"/>
    <s v="M20"/>
    <x v="19"/>
    <x v="12"/>
    <s v="kit"/>
    <s v="S18"/>
    <x v="15"/>
    <d v="2025-05-26T00:00:00"/>
    <d v="2025-05-27T00:00:00"/>
    <n v="60888.012999999999"/>
    <n v="6.41"/>
    <n v="6.7"/>
    <d v="2025-07-22T00:00:00"/>
    <x v="275"/>
    <n v="60888.012999999999"/>
    <s v="Standard"/>
    <n v="1"/>
    <n v="1"/>
    <n v="1"/>
    <x v="23"/>
    <x v="2"/>
    <n v="45778"/>
    <n v="390292.16333000001"/>
    <n v="407949.68709999998"/>
    <n v="-17657.523770000003"/>
  </r>
  <r>
    <x v="351"/>
    <s v="M21"/>
    <x v="20"/>
    <x v="13"/>
    <s v="each"/>
    <s v="S16"/>
    <x v="13"/>
    <d v="2025-05-27T00:00:00"/>
    <d v="2025-05-29T00:00:00"/>
    <n v="22463747.852000002"/>
    <n v="1.0999999999999999E-2"/>
    <n v="1.24E-2"/>
    <d v="2025-06-12T00:00:00"/>
    <x v="276"/>
    <n v="22463747.852000002"/>
    <s v="Standard"/>
    <n v="1"/>
    <n v="1"/>
    <n v="1"/>
    <x v="40"/>
    <x v="2"/>
    <n v="45778"/>
    <n v="247101.226372"/>
    <n v="278550.47336480004"/>
    <n v="-31449.246992800006"/>
  </r>
  <r>
    <x v="352"/>
    <s v="M07"/>
    <x v="6"/>
    <x v="3"/>
    <s v="kg"/>
    <s v="S08"/>
    <x v="5"/>
    <d v="2025-06-03T00:00:00"/>
    <d v="2025-06-05T00:00:00"/>
    <n v="2873.9720000000002"/>
    <n v="159.15"/>
    <n v="164.8"/>
    <d v="2025-07-03T00:00:00"/>
    <x v="264"/>
    <n v="2873.9720000000002"/>
    <s v="Standard"/>
    <n v="1"/>
    <n v="1"/>
    <n v="1"/>
    <x v="24"/>
    <x v="2"/>
    <n v="45809"/>
    <n v="457392.64380000008"/>
    <n v="473630.58560000005"/>
    <n v="-16237.941800000017"/>
  </r>
  <r>
    <x v="353"/>
    <s v="M19"/>
    <x v="18"/>
    <x v="11"/>
    <s v="each"/>
    <s v="S17"/>
    <x v="14"/>
    <d v="2025-06-02T00:00:00"/>
    <d v="2025-06-04T00:00:00"/>
    <n v="1.1930000000000001"/>
    <n v="63830.11"/>
    <n v="66950"/>
    <d v="2025-08-13T00:00:00"/>
    <x v="277"/>
    <n v="1.1930000000000001"/>
    <s v="Standard"/>
    <n v="1"/>
    <n v="1"/>
    <n v="1"/>
    <x v="1"/>
    <x v="2"/>
    <n v="45809"/>
    <n v="76149.321230000001"/>
    <n v="79871.350000000006"/>
    <n v="-3722.0287699999994"/>
  </r>
  <r>
    <x v="354"/>
    <s v="M01"/>
    <x v="0"/>
    <x v="0"/>
    <s v="wafer"/>
    <s v="S02"/>
    <x v="17"/>
    <d v="2025-06-11T00:00:00"/>
    <d v="2025-06-12T00:00:00"/>
    <n v="23923.241999999998"/>
    <n v="103.61"/>
    <n v="107.13"/>
    <d v="2025-07-24T00:00:00"/>
    <x v="278"/>
    <n v="23923.241999999998"/>
    <s v="Standard"/>
    <n v="1"/>
    <n v="1"/>
    <n v="1"/>
    <x v="5"/>
    <x v="2"/>
    <n v="45809"/>
    <n v="2478687.1036199997"/>
    <n v="2562896.9154599998"/>
    <n v="-84209.811839999893"/>
  </r>
  <r>
    <x v="355"/>
    <s v="M10"/>
    <x v="9"/>
    <x v="4"/>
    <s v="liter"/>
    <s v="S06"/>
    <x v="2"/>
    <d v="2025-06-10T00:00:00"/>
    <d v="2025-06-14T00:00:00"/>
    <n v="14340.54"/>
    <n v="35.729999999999997"/>
    <n v="39.14"/>
    <d v="2025-07-19T00:00:00"/>
    <x v="279"/>
    <n v="14340.54"/>
    <s v="Standard"/>
    <n v="1"/>
    <n v="1"/>
    <n v="1"/>
    <x v="9"/>
    <x v="2"/>
    <n v="45809"/>
    <n v="512387.49419999996"/>
    <n v="561288.73560000001"/>
    <n v="-48901.241400000057"/>
  </r>
  <r>
    <x v="356"/>
    <s v="M13"/>
    <x v="12"/>
    <x v="6"/>
    <s v="kg"/>
    <s v="S12"/>
    <x v="9"/>
    <d v="2025-06-10T00:00:00"/>
    <d v="2025-06-11T00:00:00"/>
    <n v="95.906999999999996"/>
    <n v="4037.99"/>
    <n v="4017"/>
    <d v="2025-08-20T00:00:00"/>
    <x v="280"/>
    <n v="95.906999999999996"/>
    <s v="Standard"/>
    <n v="1"/>
    <n v="1"/>
    <n v="1"/>
    <x v="1"/>
    <x v="2"/>
    <n v="45809"/>
    <n v="387271.50692999997"/>
    <n v="385258.41899999999"/>
    <n v="2013.087929999979"/>
  </r>
  <r>
    <x v="357"/>
    <s v="M14"/>
    <x v="13"/>
    <x v="7"/>
    <s v="kit"/>
    <s v="S13"/>
    <x v="10"/>
    <d v="2025-06-09T00:00:00"/>
    <d v="2025-06-10T00:00:00"/>
    <n v="19.12"/>
    <n v="5944.36"/>
    <n v="6386"/>
    <d v="2025-07-29T00:00:00"/>
    <x v="281"/>
    <n v="19.12"/>
    <s v="Standard"/>
    <n v="1"/>
    <n v="1"/>
    <n v="1"/>
    <x v="42"/>
    <x v="2"/>
    <n v="45809"/>
    <n v="113656.1632"/>
    <n v="122100.32"/>
    <n v="-8444.1568000000061"/>
  </r>
  <r>
    <x v="358"/>
    <s v="M03"/>
    <x v="2"/>
    <x v="2"/>
    <s v="liter"/>
    <s v="S09"/>
    <x v="6"/>
    <d v="2025-06-16T00:00:00"/>
    <d v="2025-06-17T00:00:00"/>
    <n v="43040.428"/>
    <n v="8.84"/>
    <n v="9.7799999999999994"/>
    <d v="2025-07-08T00:00:00"/>
    <x v="282"/>
    <n v="43040.428"/>
    <s v="Standard"/>
    <n v="1"/>
    <n v="1"/>
    <n v="1"/>
    <x v="7"/>
    <x v="2"/>
    <n v="45809"/>
    <n v="380477.38351999997"/>
    <n v="420935.38583999994"/>
    <n v="-40458.002319999978"/>
  </r>
  <r>
    <x v="359"/>
    <s v="M09"/>
    <x v="8"/>
    <x v="2"/>
    <s v="liter"/>
    <s v="S09"/>
    <x v="6"/>
    <d v="2025-06-17T00:00:00"/>
    <d v="2025-06-19T00:00:00"/>
    <n v="59759.921999999999"/>
    <n v="6.66"/>
    <n v="7"/>
    <d v="2025-07-10T00:00:00"/>
    <x v="282"/>
    <n v="59759.921999999999"/>
    <s v="Standard"/>
    <n v="1"/>
    <n v="1"/>
    <n v="1"/>
    <x v="2"/>
    <x v="2"/>
    <n v="45809"/>
    <n v="398001.08052000002"/>
    <n v="418319.45399999997"/>
    <n v="-20318.373479999991"/>
  </r>
  <r>
    <x v="360"/>
    <s v="M11"/>
    <x v="10"/>
    <x v="4"/>
    <s v="each"/>
    <s v="S10"/>
    <x v="7"/>
    <d v="2025-06-17T00:00:00"/>
    <d v="2025-06-19T00:00:00"/>
    <n v="287.46499999999997"/>
    <n v="533.16"/>
    <n v="535.6"/>
    <d v="2025-07-24T00:00:00"/>
    <x v="278"/>
    <n v="287.46499999999997"/>
    <s v="Standard"/>
    <n v="1"/>
    <n v="1"/>
    <n v="1"/>
    <x v="15"/>
    <x v="2"/>
    <n v="45809"/>
    <n v="153264.83939999997"/>
    <n v="153966.25399999999"/>
    <n v="-701.41460000001564"/>
  </r>
  <r>
    <x v="361"/>
    <s v="M20"/>
    <x v="19"/>
    <x v="12"/>
    <s v="kit"/>
    <s v="S18"/>
    <x v="15"/>
    <d v="2025-06-17T00:00:00"/>
    <d v="2025-06-20T00:00:00"/>
    <n v="56303.362999999998"/>
    <n v="6.41"/>
    <n v="6.7"/>
    <d v="2025-08-15T00:00:00"/>
    <x v="283"/>
    <n v="56303.362999999998"/>
    <s v="Standard"/>
    <n v="1"/>
    <n v="1"/>
    <n v="1"/>
    <x v="17"/>
    <x v="2"/>
    <n v="45809"/>
    <n v="360904.55683000002"/>
    <n v="377232.53210000001"/>
    <n v="-16327.975270000001"/>
  </r>
  <r>
    <x v="362"/>
    <s v="M06"/>
    <x v="5"/>
    <x v="3"/>
    <s v="kg"/>
    <s v="S07"/>
    <x v="4"/>
    <d v="2025-06-25T00:00:00"/>
    <d v="2025-06-27T00:00:00"/>
    <n v="1750.481"/>
    <n v="423.31"/>
    <n v="434.97"/>
    <d v="2025-08-08T00:00:00"/>
    <x v="284"/>
    <n v="1750.481"/>
    <s v="Standard"/>
    <n v="1"/>
    <n v="1"/>
    <n v="1"/>
    <x v="4"/>
    <x v="2"/>
    <n v="45809"/>
    <n v="740996.11210999999"/>
    <n v="761406.72057"/>
    <n v="-20410.608460000043"/>
  </r>
  <r>
    <x v="363"/>
    <s v="M12"/>
    <x v="11"/>
    <x v="5"/>
    <s v="each"/>
    <s v="S11"/>
    <x v="8"/>
    <d v="2025-06-25T00:00:00"/>
    <d v="2025-06-27T00:00:00"/>
    <n v="14.31"/>
    <n v="9771.7099999999991"/>
    <n v="9980.7000000000007"/>
    <d v="2025-08-29T00:00:00"/>
    <x v="285"/>
    <n v="14.31"/>
    <s v="Standard"/>
    <n v="1"/>
    <n v="1"/>
    <n v="1"/>
    <x v="35"/>
    <x v="2"/>
    <n v="45809"/>
    <n v="139833.17009999999"/>
    <n v="142823.81700000001"/>
    <n v="-2990.6469000000229"/>
  </r>
  <r>
    <x v="364"/>
    <s v="M15"/>
    <x v="14"/>
    <x v="8"/>
    <s v="kit"/>
    <s v="S14"/>
    <x v="11"/>
    <d v="2025-06-25T00:00:00"/>
    <d v="2025-06-26T00:00:00"/>
    <n v="3.9820000000000002"/>
    <n v="47320.47"/>
    <n v="49440"/>
    <d v="2025-10-30T00:00:00"/>
    <x v="286"/>
    <n v="3.9820000000000002"/>
    <s v="Standard"/>
    <n v="1"/>
    <n v="1"/>
    <n v="1"/>
    <x v="51"/>
    <x v="2"/>
    <n v="45809"/>
    <n v="188430.11154000001"/>
    <n v="196870.08000000002"/>
    <n v="-8439.9684599999964"/>
  </r>
  <r>
    <x v="365"/>
    <s v="M04"/>
    <x v="3"/>
    <x v="3"/>
    <s v="cylinder"/>
    <s v="S05"/>
    <x v="3"/>
    <d v="2025-07-02T00:00:00"/>
    <d v="2025-07-04T00:00:00"/>
    <n v="126.215"/>
    <n v="1941.53"/>
    <n v="1905.5"/>
    <d v="2025-08-29T00:00:00"/>
    <x v="287"/>
    <n v="126.215"/>
    <s v="Standard"/>
    <n v="1"/>
    <n v="1"/>
    <n v="1"/>
    <x v="23"/>
    <x v="2"/>
    <n v="45839"/>
    <n v="245050.20895"/>
    <n v="240502.6825"/>
    <n v="4547.5264499999967"/>
  </r>
  <r>
    <x v="366"/>
    <s v="M05"/>
    <x v="4"/>
    <x v="3"/>
    <s v="kg"/>
    <s v="S08"/>
    <x v="5"/>
    <d v="2025-06-30T00:00:00"/>
    <d v="2025-07-01T00:00:00"/>
    <n v="21384.458999999999"/>
    <n v="26.45"/>
    <n v="28.84"/>
    <d v="2025-08-12T00:00:00"/>
    <x v="277"/>
    <n v="21384.458999999999"/>
    <s v="Standard"/>
    <n v="1"/>
    <n v="1"/>
    <n v="1"/>
    <x v="4"/>
    <x v="2"/>
    <n v="45839"/>
    <n v="565618.94054999994"/>
    <n v="616727.79755999998"/>
    <n v="-51108.857010000007"/>
  </r>
  <r>
    <x v="367"/>
    <s v="M08"/>
    <x v="7"/>
    <x v="2"/>
    <s v="liter"/>
    <s v="S06"/>
    <x v="2"/>
    <d v="2025-07-01T00:00:00"/>
    <d v="2025-07-03T00:00:00"/>
    <n v="142362.26800000001"/>
    <n v="3.99"/>
    <n v="4.17"/>
    <d v="2025-07-24T00:00:00"/>
    <x v="288"/>
    <n v="142362.26800000001"/>
    <s v="Standard"/>
    <n v="1"/>
    <n v="1"/>
    <n v="1"/>
    <x v="22"/>
    <x v="2"/>
    <n v="45839"/>
    <n v="568025.44932000013"/>
    <n v="593650.65756000008"/>
    <n v="-25625.20823999996"/>
  </r>
  <r>
    <x v="368"/>
    <s v="M16"/>
    <x v="15"/>
    <x v="9"/>
    <s v="each"/>
    <s v="S16"/>
    <x v="13"/>
    <d v="2025-07-01T00:00:00"/>
    <d v="2025-07-02T00:00:00"/>
    <n v="22879841.217999998"/>
    <n v="9.5699999999999993E-2"/>
    <n v="0.1133"/>
    <d v="2025-09-10T00:00:00"/>
    <x v="289"/>
    <n v="22879841.217999998"/>
    <s v="Standard"/>
    <n v="1"/>
    <n v="1"/>
    <n v="1"/>
    <x v="1"/>
    <x v="2"/>
    <n v="45839"/>
    <n v="2189600.8045625999"/>
    <n v="2592286.0099994"/>
    <n v="-402685.20543680008"/>
  </r>
  <r>
    <x v="369"/>
    <s v="M17"/>
    <x v="16"/>
    <x v="10"/>
    <s v="meter"/>
    <s v="S18"/>
    <x v="15"/>
    <d v="2025-06-30T00:00:00"/>
    <d v="2025-07-03T00:00:00"/>
    <n v="13729268.622"/>
    <n v="4.0000000000000001E-3"/>
    <n v="4.1000000000000003E-3"/>
    <d v="2025-08-07T00:00:00"/>
    <x v="290"/>
    <n v="13729268.622"/>
    <s v="Standard"/>
    <n v="1"/>
    <n v="1"/>
    <n v="1"/>
    <x v="10"/>
    <x v="2"/>
    <n v="45839"/>
    <n v="54917.074487999998"/>
    <n v="56290.0013502"/>
    <n v="-1372.9268622000036"/>
  </r>
  <r>
    <x v="370"/>
    <s v="M18"/>
    <x v="17"/>
    <x v="10"/>
    <s v="gram"/>
    <s v="S16"/>
    <x v="13"/>
    <d v="2025-06-30T00:00:00"/>
    <d v="2025-07-02T00:00:00"/>
    <n v="8017352.0599999996"/>
    <n v="2.01E-2"/>
    <n v="2.06E-2"/>
    <d v="2025-08-06T00:00:00"/>
    <x v="291"/>
    <n v="8017352.0599999996"/>
    <s v="Standard"/>
    <n v="1"/>
    <n v="1"/>
    <n v="1"/>
    <x v="10"/>
    <x v="2"/>
    <n v="45839"/>
    <n v="161148.77640599999"/>
    <n v="165157.45243599999"/>
    <n v="-4008.6760300000033"/>
  </r>
  <r>
    <x v="371"/>
    <s v="M21"/>
    <x v="20"/>
    <x v="13"/>
    <s v="each"/>
    <s v="S16"/>
    <x v="13"/>
    <d v="2025-06-30T00:00:00"/>
    <d v="2025-07-02T00:00:00"/>
    <n v="22978013.620000001"/>
    <n v="1.0800000000000001E-2"/>
    <n v="1.24E-2"/>
    <d v="2025-07-16T00:00:00"/>
    <x v="263"/>
    <n v="22978013.620000001"/>
    <s v="Standard"/>
    <n v="1"/>
    <n v="1"/>
    <n v="1"/>
    <x v="20"/>
    <x v="2"/>
    <n v="45839"/>
    <n v="248162.54709600002"/>
    <n v="284927.36888800003"/>
    <n v="-36764.821791999981"/>
  </r>
  <r>
    <x v="372"/>
    <s v="M07"/>
    <x v="6"/>
    <x v="3"/>
    <s v="kg"/>
    <s v="S08"/>
    <x v="5"/>
    <d v="2025-07-08T00:00:00"/>
    <d v="2025-07-10T00:00:00"/>
    <n v="2850.152"/>
    <n v="159.79"/>
    <n v="164.8"/>
    <d v="2025-08-07T00:00:00"/>
    <x v="290"/>
    <n v="2850.152"/>
    <s v="Standard"/>
    <n v="1"/>
    <n v="1"/>
    <n v="1"/>
    <x v="6"/>
    <x v="2"/>
    <n v="45839"/>
    <n v="455425.78807999997"/>
    <n v="469705.04960000003"/>
    <n v="-14279.261520000055"/>
  </r>
  <r>
    <x v="373"/>
    <s v="M20"/>
    <x v="19"/>
    <x v="12"/>
    <s v="kit"/>
    <s v="S18"/>
    <x v="15"/>
    <d v="2025-07-08T00:00:00"/>
    <d v="2025-07-10T00:00:00"/>
    <n v="56351.415999999997"/>
    <n v="6.56"/>
    <n v="6.7"/>
    <d v="2025-09-04T00:00:00"/>
    <x v="292"/>
    <n v="56351.415999999997"/>
    <s v="Standard"/>
    <n v="1"/>
    <n v="1"/>
    <n v="1"/>
    <x v="17"/>
    <x v="2"/>
    <n v="45839"/>
    <n v="369665.28895999998"/>
    <n v="377554.48719999997"/>
    <n v="-7889.1982400000315"/>
  </r>
  <r>
    <x v="374"/>
    <s v="M01"/>
    <x v="0"/>
    <x v="0"/>
    <s v="wafer"/>
    <s v="S02"/>
    <x v="17"/>
    <d v="2025-07-16T00:00:00"/>
    <d v="2025-07-19T00:00:00"/>
    <n v="23755.4"/>
    <n v="101.41"/>
    <n v="107.13"/>
    <d v="2025-08-30T00:00:00"/>
    <x v="293"/>
    <n v="23755.4"/>
    <s v="Standard"/>
    <n v="0"/>
    <n v="1"/>
    <n v="0"/>
    <x v="39"/>
    <x v="2"/>
    <n v="45839"/>
    <n v="2409035.1140000001"/>
    <n v="2544916.0019999999"/>
    <n v="-135880.88799999998"/>
  </r>
  <r>
    <x v="375"/>
    <s v="M10"/>
    <x v="9"/>
    <x v="4"/>
    <s v="liter"/>
    <s v="S06"/>
    <x v="2"/>
    <d v="2025-07-16T00:00:00"/>
    <d v="2025-07-19T00:00:00"/>
    <n v="14250.050999999999"/>
    <n v="36.020000000000003"/>
    <n v="39.14"/>
    <d v="2025-08-23T00:00:00"/>
    <x v="294"/>
    <n v="14250.050999999999"/>
    <s v="Standard"/>
    <n v="1"/>
    <n v="1"/>
    <n v="1"/>
    <x v="9"/>
    <x v="2"/>
    <n v="45839"/>
    <n v="513286.83702000004"/>
    <n v="557746.99613999994"/>
    <n v="-44460.15911999996"/>
  </r>
  <r>
    <x v="376"/>
    <s v="M13"/>
    <x v="12"/>
    <x v="6"/>
    <s v="kg"/>
    <s v="S12"/>
    <x v="9"/>
    <d v="2025-07-16T00:00:00"/>
    <d v="2025-07-18T00:00:00"/>
    <n v="108.16200000000001"/>
    <n v="4047.35"/>
    <n v="4017"/>
    <d v="2025-09-26T00:00:00"/>
    <x v="295"/>
    <n v="108.16200000000001"/>
    <s v="Standard"/>
    <n v="1"/>
    <n v="1"/>
    <n v="1"/>
    <x v="31"/>
    <x v="2"/>
    <n v="45839"/>
    <n v="437769.47070000001"/>
    <n v="434486.75400000002"/>
    <n v="3282.7166999999904"/>
  </r>
  <r>
    <x v="377"/>
    <s v="M14"/>
    <x v="13"/>
    <x v="7"/>
    <s v="kit"/>
    <s v="S13"/>
    <x v="10"/>
    <d v="2025-07-16T00:00:00"/>
    <d v="2025-07-18T00:00:00"/>
    <n v="19"/>
    <n v="6282.23"/>
    <n v="6386"/>
    <d v="2025-09-05T00:00:00"/>
    <x v="296"/>
    <n v="19"/>
    <s v="Standard"/>
    <n v="1"/>
    <n v="1"/>
    <n v="1"/>
    <x v="42"/>
    <x v="2"/>
    <n v="45839"/>
    <n v="119362.37"/>
    <n v="121334"/>
    <n v="-1971.6300000000083"/>
  </r>
  <r>
    <x v="378"/>
    <s v="M03"/>
    <x v="2"/>
    <x v="2"/>
    <s v="liter"/>
    <s v="S06"/>
    <x v="2"/>
    <d v="2025-07-21T00:00:00"/>
    <d v="2025-07-23T00:00:00"/>
    <n v="42716.324000000001"/>
    <n v="8.81"/>
    <n v="9.7799999999999994"/>
    <d v="2025-08-13T00:00:00"/>
    <x v="277"/>
    <n v="42716.324000000001"/>
    <s v="Standard"/>
    <n v="1"/>
    <n v="1"/>
    <n v="1"/>
    <x v="8"/>
    <x v="2"/>
    <n v="45839"/>
    <n v="376330.81444000005"/>
    <n v="417765.64872"/>
    <n v="-41434.834279999952"/>
  </r>
  <r>
    <x v="379"/>
    <s v="M09"/>
    <x v="8"/>
    <x v="2"/>
    <s v="liter"/>
    <s v="S09"/>
    <x v="6"/>
    <d v="2025-07-23T00:00:00"/>
    <d v="2025-07-25T00:00:00"/>
    <n v="59638.894"/>
    <n v="6.87"/>
    <n v="7"/>
    <d v="2025-08-15T00:00:00"/>
    <x v="283"/>
    <n v="59638.894"/>
    <s v="Standard"/>
    <n v="1"/>
    <n v="1"/>
    <n v="1"/>
    <x v="2"/>
    <x v="2"/>
    <n v="45839"/>
    <n v="409719.20178"/>
    <n v="417472.25800000003"/>
    <n v="-7753.056219999994"/>
  </r>
  <r>
    <x v="380"/>
    <s v="M11"/>
    <x v="10"/>
    <x v="4"/>
    <s v="each"/>
    <s v="S10"/>
    <x v="7"/>
    <d v="2025-07-22T00:00:00"/>
    <d v="2025-07-24T00:00:00"/>
    <n v="284.92399999999998"/>
    <n v="519.36"/>
    <n v="535.6"/>
    <d v="2025-08-28T00:00:00"/>
    <x v="297"/>
    <n v="284.92399999999998"/>
    <s v="Standard"/>
    <n v="1"/>
    <n v="1"/>
    <n v="1"/>
    <x v="15"/>
    <x v="2"/>
    <n v="45839"/>
    <n v="147978.12863999998"/>
    <n v="152605.29439999998"/>
    <n v="-4627.1657600000026"/>
  </r>
  <r>
    <x v="381"/>
    <s v="M15"/>
    <x v="14"/>
    <x v="8"/>
    <s v="kit"/>
    <s v="S14"/>
    <x v="11"/>
    <d v="2025-07-23T00:00:00"/>
    <d v="2025-07-25T00:00:00"/>
    <n v="3"/>
    <n v="48161.599999999999"/>
    <n v="49440"/>
    <d v="2025-11-28T00:00:00"/>
    <x v="298"/>
    <n v="3"/>
    <s v="Standard"/>
    <n v="1"/>
    <n v="1"/>
    <n v="1"/>
    <x v="14"/>
    <x v="2"/>
    <n v="45839"/>
    <n v="144484.79999999999"/>
    <n v="148320"/>
    <n v="-3835.2000000000044"/>
  </r>
  <r>
    <x v="382"/>
    <s v="M02"/>
    <x v="1"/>
    <x v="1"/>
    <s v="liter"/>
    <s v="S03"/>
    <x v="1"/>
    <d v="2025-07-29T00:00:00"/>
    <d v="2025-07-30T00:00:00"/>
    <n v="2085.2759999999998"/>
    <n v="2336.0100000000002"/>
    <n v="2472"/>
    <d v="2025-10-08T00:00:00"/>
    <x v="299"/>
    <n v="2085.2759999999998"/>
    <s v="Standard"/>
    <n v="1"/>
    <n v="1"/>
    <n v="1"/>
    <x v="16"/>
    <x v="2"/>
    <n v="45839"/>
    <n v="4871225.5887599997"/>
    <n v="5154802.2719999999"/>
    <n v="-283576.68323999952"/>
  </r>
  <r>
    <x v="383"/>
    <s v="M06"/>
    <x v="5"/>
    <x v="3"/>
    <s v="kg"/>
    <s v="S07"/>
    <x v="4"/>
    <d v="2025-07-28T00:00:00"/>
    <d v="2025-07-30T00:00:00"/>
    <n v="1906.7249999999999"/>
    <n v="422.66"/>
    <n v="434.97"/>
    <d v="2025-09-10T00:00:00"/>
    <x v="300"/>
    <n v="1906.7249999999999"/>
    <s v="Standard"/>
    <n v="1"/>
    <n v="1"/>
    <n v="1"/>
    <x v="4"/>
    <x v="2"/>
    <n v="45839"/>
    <n v="805896.3885"/>
    <n v="829368.17324999999"/>
    <n v="-23471.784750000003"/>
  </r>
  <r>
    <x v="384"/>
    <s v="M12"/>
    <x v="11"/>
    <x v="5"/>
    <s v="each"/>
    <s v="S11"/>
    <x v="8"/>
    <d v="2025-07-29T00:00:00"/>
    <d v="2025-08-01T00:00:00"/>
    <n v="14.28"/>
    <n v="9730.27"/>
    <n v="9980.7000000000007"/>
    <d v="2025-10-03T00:00:00"/>
    <x v="301"/>
    <n v="14.28"/>
    <s v="Standard"/>
    <n v="1"/>
    <n v="1"/>
    <n v="1"/>
    <x v="35"/>
    <x v="2"/>
    <n v="45870"/>
    <n v="138948.2556"/>
    <n v="142524.39600000001"/>
    <n v="-3576.1404000000039"/>
  </r>
  <r>
    <x v="385"/>
    <s v="M20"/>
    <x v="19"/>
    <x v="12"/>
    <s v="kit"/>
    <s v="S18"/>
    <x v="15"/>
    <d v="2025-07-30T00:00:00"/>
    <d v="2025-08-01T00:00:00"/>
    <n v="64132.048999999999"/>
    <n v="6.47"/>
    <n v="6.7"/>
    <d v="2025-09-26T00:00:00"/>
    <x v="302"/>
    <n v="64132.048999999999"/>
    <s v="Standard"/>
    <n v="1"/>
    <n v="1"/>
    <n v="1"/>
    <x v="23"/>
    <x v="2"/>
    <n v="45870"/>
    <n v="414934.35702999996"/>
    <n v="429684.72830000002"/>
    <n v="-14750.371270000027"/>
  </r>
  <r>
    <x v="386"/>
    <s v="M02"/>
    <x v="1"/>
    <x v="1"/>
    <s v="liter"/>
    <s v="S04"/>
    <x v="18"/>
    <d v="2025-08-05T00:00:00"/>
    <d v="2025-08-06T00:00:00"/>
    <n v="840"/>
    <n v="2672"/>
    <n v="2472"/>
    <d v="2025-08-27T00:00:00"/>
    <x v="303"/>
    <n v="840"/>
    <s v="Expedite"/>
    <n v="1"/>
    <n v="1"/>
    <n v="1"/>
    <x v="22"/>
    <x v="2"/>
    <n v="45870"/>
    <n v="2244480"/>
    <n v="2076480"/>
    <n v="168000"/>
  </r>
  <r>
    <x v="387"/>
    <s v="M04"/>
    <x v="3"/>
    <x v="3"/>
    <s v="cylinder"/>
    <s v="S05"/>
    <x v="3"/>
    <d v="2025-08-05T00:00:00"/>
    <d v="2025-08-08T00:00:00"/>
    <n v="143.91399999999999"/>
    <n v="1990.45"/>
    <n v="1905.5"/>
    <d v="2025-10-03T00:00:00"/>
    <x v="304"/>
    <n v="143.91399999999999"/>
    <s v="Standard"/>
    <n v="1"/>
    <n v="1"/>
    <n v="1"/>
    <x v="17"/>
    <x v="2"/>
    <n v="45870"/>
    <n v="286453.6213"/>
    <n v="274228.12699999998"/>
    <n v="12225.494300000006"/>
  </r>
  <r>
    <x v="388"/>
    <s v="M05"/>
    <x v="4"/>
    <x v="3"/>
    <s v="kg"/>
    <s v="S08"/>
    <x v="5"/>
    <d v="2025-08-04T00:00:00"/>
    <d v="2025-08-07T00:00:00"/>
    <n v="21557.552"/>
    <n v="26.57"/>
    <n v="28.84"/>
    <d v="2025-09-18T00:00:00"/>
    <x v="305"/>
    <n v="21557.552"/>
    <s v="Standard"/>
    <n v="1"/>
    <n v="1"/>
    <n v="1"/>
    <x v="4"/>
    <x v="2"/>
    <n v="45870"/>
    <n v="572784.15663999994"/>
    <n v="621719.79967999994"/>
    <n v="-48935.643039999988"/>
  </r>
  <r>
    <x v="389"/>
    <s v="M08"/>
    <x v="7"/>
    <x v="2"/>
    <s v="liter"/>
    <s v="S06"/>
    <x v="2"/>
    <d v="2025-08-06T00:00:00"/>
    <d v="2025-08-08T00:00:00"/>
    <n v="143720.315"/>
    <n v="4.0599999999999996"/>
    <n v="4.17"/>
    <d v="2025-08-29T00:00:00"/>
    <x v="285"/>
    <n v="143720.315"/>
    <s v="Standard"/>
    <n v="1"/>
    <n v="1"/>
    <n v="1"/>
    <x v="22"/>
    <x v="2"/>
    <n v="45870"/>
    <n v="583504.47889999999"/>
    <n v="599313.71354999999"/>
    <n v="-15809.234650000046"/>
  </r>
  <r>
    <x v="390"/>
    <s v="M16"/>
    <x v="15"/>
    <x v="9"/>
    <s v="each"/>
    <s v="S16"/>
    <x v="13"/>
    <d v="2025-08-06T00:00:00"/>
    <d v="2025-08-11T00:00:00"/>
    <n v="21222411.276999999"/>
    <n v="9.69E-2"/>
    <n v="0.1133"/>
    <d v="2025-10-20T00:00:00"/>
    <x v="306"/>
    <n v="21222411.276999999"/>
    <s v="Standard"/>
    <n v="0"/>
    <n v="1"/>
    <n v="0"/>
    <x v="48"/>
    <x v="2"/>
    <n v="45870"/>
    <n v="2056451.6527412999"/>
    <n v="2404499.1976840999"/>
    <n v="-348047.54494279996"/>
  </r>
  <r>
    <x v="391"/>
    <s v="M17"/>
    <x v="16"/>
    <x v="10"/>
    <s v="meter"/>
    <s v="S16"/>
    <x v="13"/>
    <d v="2025-08-04T00:00:00"/>
    <d v="2025-08-05T00:00:00"/>
    <n v="12733598.880999999"/>
    <n v="4.0000000000000001E-3"/>
    <n v="4.1000000000000003E-3"/>
    <d v="2025-09-09T00:00:00"/>
    <x v="300"/>
    <n v="12733598.880999999"/>
    <s v="Standard"/>
    <n v="1"/>
    <n v="1"/>
    <n v="1"/>
    <x v="28"/>
    <x v="2"/>
    <n v="45870"/>
    <n v="50934.395524"/>
    <n v="52207.755412099999"/>
    <n v="-1273.3598881000032"/>
  </r>
  <r>
    <x v="392"/>
    <s v="M18"/>
    <x v="17"/>
    <x v="10"/>
    <s v="gram"/>
    <s v="S16"/>
    <x v="13"/>
    <d v="2025-08-04T00:00:00"/>
    <d v="2025-08-07T00:00:00"/>
    <n v="7429392.7869999995"/>
    <n v="2.01E-2"/>
    <n v="2.06E-2"/>
    <d v="2025-09-11T00:00:00"/>
    <x v="300"/>
    <n v="7429392.7869999995"/>
    <s v="Standard"/>
    <n v="1"/>
    <n v="1"/>
    <n v="1"/>
    <x v="15"/>
    <x v="2"/>
    <n v="45870"/>
    <n v="149330.79501869998"/>
    <n v="153045.4914122"/>
    <n v="-3714.6963935000031"/>
  </r>
  <r>
    <x v="393"/>
    <s v="M19"/>
    <x v="18"/>
    <x v="11"/>
    <s v="each"/>
    <s v="S17"/>
    <x v="14"/>
    <d v="2025-08-04T00:00:00"/>
    <d v="2025-08-05T00:00:00"/>
    <n v="1"/>
    <n v="64908.41"/>
    <n v="66950"/>
    <d v="2025-10-14T00:00:00"/>
    <x v="307"/>
    <n v="1"/>
    <s v="Standard"/>
    <n v="1"/>
    <n v="1"/>
    <n v="1"/>
    <x v="16"/>
    <x v="2"/>
    <n v="45870"/>
    <n v="64908.41"/>
    <n v="66950"/>
    <n v="-2041.5899999999965"/>
  </r>
  <r>
    <x v="394"/>
    <s v="M21"/>
    <x v="20"/>
    <x v="13"/>
    <s v="each"/>
    <s v="S16"/>
    <x v="13"/>
    <d v="2025-08-04T00:00:00"/>
    <d v="2025-08-06T00:00:00"/>
    <n v="21342921.004000001"/>
    <n v="1.0800000000000001E-2"/>
    <n v="1.24E-2"/>
    <d v="2025-08-20T00:00:00"/>
    <x v="280"/>
    <n v="18030841.170000002"/>
    <s v="Standard"/>
    <n v="1"/>
    <n v="0"/>
    <n v="0"/>
    <x v="18"/>
    <x v="2"/>
    <n v="45870"/>
    <n v="194733.08463600004"/>
    <n v="223582.43050800002"/>
    <n v="-28849.345871999984"/>
  </r>
  <r>
    <x v="395"/>
    <s v="M20"/>
    <x v="19"/>
    <x v="12"/>
    <s v="kit"/>
    <s v="S18"/>
    <x v="15"/>
    <d v="2025-08-20T00:00:00"/>
    <d v="2025-08-22T00:00:00"/>
    <n v="62513.517"/>
    <n v="6.55"/>
    <n v="6.7"/>
    <d v="2025-10-17T00:00:00"/>
    <x v="307"/>
    <n v="62513.517"/>
    <s v="Standard"/>
    <n v="1"/>
    <n v="1"/>
    <n v="1"/>
    <x v="17"/>
    <x v="2"/>
    <n v="45870"/>
    <n v="409463.53635000001"/>
    <n v="418840.56390000001"/>
    <n v="-9377.0275500000225"/>
  </r>
  <r>
    <x v="396"/>
    <s v="M07"/>
    <x v="6"/>
    <x v="3"/>
    <s v="kg"/>
    <s v="S08"/>
    <x v="5"/>
    <d v="2025-08-27T00:00:00"/>
    <d v="2025-08-28T00:00:00"/>
    <n v="2871.828"/>
    <n v="158.88"/>
    <n v="164.8"/>
    <d v="2025-09-25T00:00:00"/>
    <x v="302"/>
    <n v="2871.828"/>
    <s v="Standard"/>
    <n v="1"/>
    <n v="1"/>
    <n v="1"/>
    <x v="34"/>
    <x v="2"/>
    <n v="45870"/>
    <n v="456276.03263999999"/>
    <n v="473277.25440000003"/>
    <n v="-17001.221760000044"/>
  </r>
  <r>
    <x v="397"/>
    <s v="M01"/>
    <x v="0"/>
    <x v="0"/>
    <s v="wafer"/>
    <s v="S02"/>
    <x v="17"/>
    <d v="2025-09-03T00:00:00"/>
    <d v="2025-09-06T00:00:00"/>
    <n v="23918.455999999998"/>
    <n v="102.4"/>
    <n v="107.13"/>
    <d v="2025-10-18T00:00:00"/>
    <x v="308"/>
    <n v="23918.455999999998"/>
    <s v="Standard"/>
    <n v="1"/>
    <n v="1"/>
    <n v="1"/>
    <x v="27"/>
    <x v="2"/>
    <n v="45901"/>
    <n v="2449249.8944000001"/>
    <n v="2562384.1912799999"/>
    <n v="-113134.29687999975"/>
  </r>
  <r>
    <x v="398"/>
    <s v="M10"/>
    <x v="9"/>
    <x v="4"/>
    <s v="liter"/>
    <s v="S06"/>
    <x v="2"/>
    <d v="2025-09-03T00:00:00"/>
    <d v="2025-09-04T00:00:00"/>
    <n v="14328.941000000001"/>
    <n v="35.67"/>
    <n v="39.14"/>
    <d v="2025-10-09T00:00:00"/>
    <x v="309"/>
    <n v="14328.941000000001"/>
    <s v="Standard"/>
    <n v="1"/>
    <n v="1"/>
    <n v="1"/>
    <x v="15"/>
    <x v="2"/>
    <n v="45901"/>
    <n v="511113.32547000004"/>
    <n v="560834.75074000005"/>
    <n v="-49721.425269999985"/>
  </r>
  <r>
    <x v="399"/>
    <s v="M13"/>
    <x v="12"/>
    <x v="6"/>
    <s v="kg"/>
    <s v="S12"/>
    <x v="9"/>
    <d v="2025-09-03T00:00:00"/>
    <d v="2025-09-05T00:00:00"/>
    <n v="95.504999999999995"/>
    <n v="4005.71"/>
    <n v="4017"/>
    <d v="2025-11-14T00:00:00"/>
    <x v="310"/>
    <n v="95.504999999999995"/>
    <s v="Standard"/>
    <n v="1"/>
    <n v="1"/>
    <n v="1"/>
    <x v="31"/>
    <x v="2"/>
    <n v="45901"/>
    <n v="382565.33354999998"/>
    <n v="383643.58499999996"/>
    <n v="-1078.2514499999966"/>
  </r>
  <r>
    <x v="400"/>
    <s v="M14"/>
    <x v="13"/>
    <x v="7"/>
    <s v="kit"/>
    <s v="S13"/>
    <x v="10"/>
    <d v="2025-09-02T00:00:00"/>
    <d v="2025-09-03T00:00:00"/>
    <n v="19.100000000000001"/>
    <n v="6164.3"/>
    <n v="6386"/>
    <d v="2025-10-22T00:00:00"/>
    <x v="311"/>
    <n v="19.100000000000001"/>
    <s v="Standard"/>
    <n v="1"/>
    <n v="1"/>
    <n v="1"/>
    <x v="47"/>
    <x v="2"/>
    <n v="45901"/>
    <n v="117738.13000000002"/>
    <n v="121972.6"/>
    <n v="-4234.4699999999966"/>
  </r>
  <r>
    <x v="401"/>
    <s v="M15"/>
    <x v="14"/>
    <x v="8"/>
    <s v="kit"/>
    <s v="S14"/>
    <x v="11"/>
    <d v="2025-09-02T00:00:00"/>
    <d v="2025-09-04T00:00:00"/>
    <n v="4"/>
    <n v="47341.65"/>
    <n v="49440"/>
    <d v="2026-01-08T00:00:00"/>
    <x v="312"/>
    <n v="4"/>
    <s v="Standard"/>
    <n v="1"/>
    <n v="1"/>
    <n v="1"/>
    <x v="58"/>
    <x v="2"/>
    <n v="45901"/>
    <n v="189366.6"/>
    <n v="197760"/>
    <n v="-8393.3999999999942"/>
  </r>
  <r>
    <x v="402"/>
    <s v="M16"/>
    <x v="15"/>
    <x v="9"/>
    <s v="each"/>
    <s v="S16"/>
    <x v="13"/>
    <d v="2025-09-01T00:00:00"/>
    <d v="2025-09-04T00:00:00"/>
    <n v="18410732.572999999"/>
    <n v="9.6000000000000002E-2"/>
    <n v="0.1133"/>
    <d v="2025-11-13T00:00:00"/>
    <x v="313"/>
    <n v="18410732.572999999"/>
    <s v="Standard"/>
    <n v="1"/>
    <n v="1"/>
    <n v="1"/>
    <x v="31"/>
    <x v="2"/>
    <n v="45901"/>
    <n v="1767430.3270079999"/>
    <n v="2085936.0005208999"/>
    <n v="-318505.6735128999"/>
  </r>
  <r>
    <x v="403"/>
    <s v="M17"/>
    <x v="16"/>
    <x v="10"/>
    <s v="meter"/>
    <s v="S18"/>
    <x v="15"/>
    <d v="2025-09-03T00:00:00"/>
    <d v="2025-09-04T00:00:00"/>
    <n v="11012290.362"/>
    <n v="4.0000000000000001E-3"/>
    <n v="4.1000000000000003E-3"/>
    <d v="2025-10-09T00:00:00"/>
    <x v="314"/>
    <n v="11012290.362"/>
    <s v="Standard"/>
    <n v="1"/>
    <n v="1"/>
    <n v="1"/>
    <x v="28"/>
    <x v="2"/>
    <n v="45901"/>
    <n v="44049.161447999999"/>
    <n v="45150.390484200005"/>
    <n v="-1101.2290362000028"/>
  </r>
  <r>
    <x v="404"/>
    <s v="M18"/>
    <x v="17"/>
    <x v="10"/>
    <s v="gram"/>
    <s v="S16"/>
    <x v="13"/>
    <d v="2025-09-02T00:00:00"/>
    <d v="2025-09-04T00:00:00"/>
    <n v="6423836.0449999999"/>
    <n v="2.06E-2"/>
    <n v="2.06E-2"/>
    <d v="2025-10-09T00:00:00"/>
    <x v="314"/>
    <n v="6423836.0449999999"/>
    <s v="Standard"/>
    <n v="1"/>
    <n v="1"/>
    <n v="1"/>
    <x v="28"/>
    <x v="2"/>
    <n v="45901"/>
    <n v="132331.02252699999"/>
    <n v="132331.02252699999"/>
    <n v="0"/>
  </r>
  <r>
    <x v="405"/>
    <s v="M21"/>
    <x v="20"/>
    <x v="13"/>
    <s v="each"/>
    <s v="S19"/>
    <x v="16"/>
    <d v="2025-09-01T00:00:00"/>
    <d v="2025-09-02T00:00:00"/>
    <n v="21771820.098999999"/>
    <n v="1.0699999999999999E-2"/>
    <n v="1.24E-2"/>
    <d v="2025-09-16T00:00:00"/>
    <x v="315"/>
    <n v="21771820.098999999"/>
    <s v="Standard"/>
    <n v="1"/>
    <n v="1"/>
    <n v="1"/>
    <x v="41"/>
    <x v="2"/>
    <n v="45901"/>
    <n v="232958.47505929999"/>
    <n v="269970.5692276"/>
    <n v="-37012.094168299998"/>
  </r>
  <r>
    <x v="406"/>
    <s v="M03"/>
    <x v="2"/>
    <x v="2"/>
    <s v="liter"/>
    <s v="S06"/>
    <x v="2"/>
    <d v="2025-09-10T00:00:00"/>
    <d v="2025-09-13T00:00:00"/>
    <n v="42847.858999999997"/>
    <n v="8.7200000000000006"/>
    <n v="9.7799999999999994"/>
    <d v="2025-10-04T00:00:00"/>
    <x v="316"/>
    <n v="42847.858999999997"/>
    <s v="Standard"/>
    <n v="1"/>
    <n v="1"/>
    <n v="1"/>
    <x v="2"/>
    <x v="2"/>
    <n v="45901"/>
    <n v="373633.33048"/>
    <n v="419052.06101999996"/>
    <n v="-45418.730539999939"/>
  </r>
  <r>
    <x v="407"/>
    <s v="M09"/>
    <x v="8"/>
    <x v="2"/>
    <s v="liter"/>
    <s v="S09"/>
    <x v="6"/>
    <d v="2025-09-09T00:00:00"/>
    <d v="2025-09-13T00:00:00"/>
    <n v="59633.184000000001"/>
    <n v="6.86"/>
    <n v="7"/>
    <d v="2025-10-04T00:00:00"/>
    <x v="316"/>
    <n v="59633.184000000001"/>
    <s v="Standard"/>
    <n v="1"/>
    <n v="1"/>
    <n v="1"/>
    <x v="2"/>
    <x v="2"/>
    <n v="45901"/>
    <n v="409083.64224000002"/>
    <n v="417432.288"/>
    <n v="-8348.6457599999812"/>
  </r>
  <r>
    <x v="408"/>
    <s v="M11"/>
    <x v="10"/>
    <x v="4"/>
    <s v="each"/>
    <s v="S10"/>
    <x v="7"/>
    <d v="2025-09-08T00:00:00"/>
    <d v="2025-09-10T00:00:00"/>
    <n v="285.91399999999999"/>
    <n v="524.5"/>
    <n v="535.6"/>
    <d v="2025-10-15T00:00:00"/>
    <x v="307"/>
    <n v="285.91399999999999"/>
    <s v="Standard"/>
    <n v="1"/>
    <n v="1"/>
    <n v="1"/>
    <x v="9"/>
    <x v="2"/>
    <n v="45901"/>
    <n v="149961.89299999998"/>
    <n v="153135.53839999999"/>
    <n v="-3173.6454000000062"/>
  </r>
  <r>
    <x v="409"/>
    <s v="M20"/>
    <x v="19"/>
    <x v="12"/>
    <s v="kit"/>
    <s v="S18"/>
    <x v="15"/>
    <d v="2025-09-08T00:00:00"/>
    <d v="2025-09-11T00:00:00"/>
    <n v="61388.616000000002"/>
    <n v="7.22"/>
    <n v="6.7"/>
    <d v="2025-09-25T00:00:00"/>
    <x v="302"/>
    <n v="61388.616000000002"/>
    <s v="Expedite"/>
    <n v="1"/>
    <n v="1"/>
    <n v="1"/>
    <x v="41"/>
    <x v="2"/>
    <n v="45901"/>
    <n v="443225.80751999997"/>
    <n v="411303.72720000002"/>
    <n v="31922.080319999975"/>
  </r>
  <r>
    <x v="410"/>
    <s v="M02"/>
    <x v="1"/>
    <x v="1"/>
    <s v="liter"/>
    <s v="S03"/>
    <x v="1"/>
    <d v="2025-09-15T00:00:00"/>
    <d v="2025-09-19T00:00:00"/>
    <n v="762.64200000000005"/>
    <n v="2383.59"/>
    <n v="2472"/>
    <d v="2025-11-28T00:00:00"/>
    <x v="317"/>
    <n v="762.64200000000005"/>
    <s v="Standard"/>
    <n v="1"/>
    <n v="1"/>
    <n v="1"/>
    <x v="21"/>
    <x v="2"/>
    <n v="45901"/>
    <n v="1817825.8447800002"/>
    <n v="1885251.0240000002"/>
    <n v="-67425.179219999889"/>
  </r>
  <r>
    <x v="411"/>
    <s v="M06"/>
    <x v="5"/>
    <x v="3"/>
    <s v="kg"/>
    <s v="S07"/>
    <x v="4"/>
    <d v="2025-09-15T00:00:00"/>
    <d v="2025-09-16T00:00:00"/>
    <n v="1905.605"/>
    <n v="421.51"/>
    <n v="434.97"/>
    <d v="2025-10-28T00:00:00"/>
    <x v="318"/>
    <n v="1905.605"/>
    <s v="Standard"/>
    <n v="1"/>
    <n v="1"/>
    <n v="1"/>
    <x v="0"/>
    <x v="2"/>
    <n v="45901"/>
    <n v="803231.56354999996"/>
    <n v="828881.00685000001"/>
    <n v="-25649.443300000068"/>
  </r>
  <r>
    <x v="412"/>
    <s v="M12"/>
    <x v="11"/>
    <x v="5"/>
    <s v="each"/>
    <s v="S11"/>
    <x v="8"/>
    <d v="2025-09-15T00:00:00"/>
    <d v="2025-09-16T00:00:00"/>
    <n v="14.265000000000001"/>
    <n v="9737.25"/>
    <n v="9980.7000000000007"/>
    <d v="2025-11-18T00:00:00"/>
    <x v="319"/>
    <n v="14.265000000000001"/>
    <s v="Standard"/>
    <n v="1"/>
    <n v="1"/>
    <n v="1"/>
    <x v="35"/>
    <x v="2"/>
    <n v="45901"/>
    <n v="138901.87125"/>
    <n v="142374.68550000002"/>
    <n v="-3472.8142500000104"/>
  </r>
  <r>
    <x v="413"/>
    <s v="M04"/>
    <x v="3"/>
    <x v="3"/>
    <s v="cylinder"/>
    <s v="S05"/>
    <x v="3"/>
    <d v="2025-09-23T00:00:00"/>
    <d v="2025-09-26T00:00:00"/>
    <n v="142.93899999999999"/>
    <n v="1970.31"/>
    <n v="1905.5"/>
    <d v="2025-11-21T00:00:00"/>
    <x v="320"/>
    <n v="142.93899999999999"/>
    <s v="Standard"/>
    <n v="0"/>
    <n v="1"/>
    <n v="0"/>
    <x v="57"/>
    <x v="2"/>
    <n v="45901"/>
    <n v="281634.14108999999"/>
    <n v="272370.26449999999"/>
    <n v="9263.8765899999926"/>
  </r>
  <r>
    <x v="414"/>
    <s v="M05"/>
    <x v="4"/>
    <x v="3"/>
    <s v="kg"/>
    <s v="S08"/>
    <x v="5"/>
    <d v="2025-09-24T00:00:00"/>
    <d v="2025-09-26T00:00:00"/>
    <n v="21416.463"/>
    <n v="26.22"/>
    <n v="28.84"/>
    <d v="2025-11-07T00:00:00"/>
    <x v="321"/>
    <n v="21416.463"/>
    <s v="Standard"/>
    <n v="1"/>
    <n v="1"/>
    <n v="1"/>
    <x v="4"/>
    <x v="2"/>
    <n v="45901"/>
    <n v="561539.65986000001"/>
    <n v="617650.79292000004"/>
    <n v="-56111.133060000022"/>
  </r>
  <r>
    <x v="415"/>
    <s v="M08"/>
    <x v="7"/>
    <x v="2"/>
    <s v="liter"/>
    <s v="S06"/>
    <x v="2"/>
    <d v="2025-09-22T00:00:00"/>
    <d v="2025-09-27T00:00:00"/>
    <n v="142732.23699999999"/>
    <n v="3.94"/>
    <n v="4.17"/>
    <d v="2025-10-18T00:00:00"/>
    <x v="322"/>
    <n v="142732.23699999999"/>
    <s v="Standard"/>
    <n v="1"/>
    <n v="1"/>
    <n v="1"/>
    <x v="8"/>
    <x v="2"/>
    <n v="45901"/>
    <n v="562365.01377999992"/>
    <n v="595193.42828999995"/>
    <n v="-32828.414509999995"/>
  </r>
  <r>
    <x v="416"/>
    <s v="M20"/>
    <x v="19"/>
    <x v="12"/>
    <s v="kit"/>
    <s v="S18"/>
    <x v="15"/>
    <d v="2025-09-29T00:00:00"/>
    <d v="2025-10-03T00:00:00"/>
    <n v="56330.987999999998"/>
    <n v="6.4"/>
    <n v="6.7"/>
    <d v="2025-11-28T00:00:00"/>
    <x v="323"/>
    <n v="56330.987999999998"/>
    <s v="Standard"/>
    <n v="1"/>
    <n v="1"/>
    <n v="1"/>
    <x v="38"/>
    <x v="2"/>
    <n v="45931"/>
    <n v="360518.32319999998"/>
    <n v="377417.61959999998"/>
    <n v="-16899.296399999988"/>
  </r>
  <r>
    <x v="417"/>
    <s v="M01"/>
    <x v="0"/>
    <x v="0"/>
    <s v="wafer"/>
    <s v="S02"/>
    <x v="17"/>
    <d v="2025-10-06T00:00:00"/>
    <d v="2025-10-09T00:00:00"/>
    <n v="19200"/>
    <n v="105.37"/>
    <n v="107.13"/>
    <d v="2025-11-20T00:00:00"/>
    <x v="324"/>
    <n v="19200"/>
    <s v="Standard"/>
    <n v="0"/>
    <n v="1"/>
    <n v="0"/>
    <x v="23"/>
    <x v="2"/>
    <n v="45931"/>
    <n v="2023104"/>
    <n v="2056896"/>
    <n v="-33791.999999999825"/>
  </r>
  <r>
    <x v="418"/>
    <s v="M07"/>
    <x v="6"/>
    <x v="3"/>
    <s v="kg"/>
    <s v="S08"/>
    <x v="5"/>
    <d v="2025-10-08T00:00:00"/>
    <d v="2025-10-10T00:00:00"/>
    <n v="2872.1080000000002"/>
    <n v="160.06"/>
    <n v="164.8"/>
    <d v="2025-11-07T00:00:00"/>
    <x v="325"/>
    <n v="2872.1080000000002"/>
    <s v="Standard"/>
    <n v="1"/>
    <n v="1"/>
    <n v="1"/>
    <x v="34"/>
    <x v="2"/>
    <n v="45931"/>
    <n v="459709.60648000002"/>
    <n v="473323.39840000006"/>
    <n v="-13613.791920000027"/>
  </r>
  <r>
    <x v="419"/>
    <s v="M10"/>
    <x v="9"/>
    <x v="4"/>
    <s v="liter"/>
    <s v="S06"/>
    <x v="2"/>
    <d v="2025-10-07T00:00:00"/>
    <d v="2025-10-12T00:00:00"/>
    <n v="11521.864"/>
    <n v="35.700000000000003"/>
    <n v="39.14"/>
    <d v="2025-11-16T00:00:00"/>
    <x v="326"/>
    <n v="11521.864"/>
    <s v="Standard"/>
    <n v="1"/>
    <n v="1"/>
    <n v="1"/>
    <x v="15"/>
    <x v="2"/>
    <n v="45931"/>
    <n v="411330.54480000003"/>
    <n v="450965.75695999997"/>
    <n v="-39635.212159999974"/>
  </r>
  <r>
    <x v="420"/>
    <s v="M13"/>
    <x v="12"/>
    <x v="6"/>
    <s v="kg"/>
    <s v="S12"/>
    <x v="9"/>
    <d v="2025-10-06T00:00:00"/>
    <d v="2025-10-08T00:00:00"/>
    <n v="76.846999999999994"/>
    <n v="3967.14"/>
    <n v="4017"/>
    <d v="2025-12-17T00:00:00"/>
    <x v="327"/>
    <n v="76.846999999999994"/>
    <s v="Standard"/>
    <n v="0"/>
    <n v="1"/>
    <n v="0"/>
    <x v="12"/>
    <x v="2"/>
    <n v="45931"/>
    <n v="304862.80757999996"/>
    <n v="308694.39899999998"/>
    <n v="-3831.5914200000093"/>
  </r>
  <r>
    <x v="421"/>
    <s v="M14"/>
    <x v="13"/>
    <x v="7"/>
    <s v="kit"/>
    <s v="S13"/>
    <x v="10"/>
    <d v="2025-10-08T00:00:00"/>
    <d v="2025-10-12T00:00:00"/>
    <n v="15.36"/>
    <n v="6194.12"/>
    <n v="6386"/>
    <d v="2025-11-30T00:00:00"/>
    <x v="328"/>
    <n v="15.36"/>
    <s v="Standard"/>
    <n v="1"/>
    <n v="1"/>
    <n v="1"/>
    <x v="36"/>
    <x v="2"/>
    <n v="45931"/>
    <n v="95141.683199999999"/>
    <n v="98088.959999999992"/>
    <n v="-2947.2768000000015"/>
  </r>
  <r>
    <x v="422"/>
    <s v="M16"/>
    <x v="15"/>
    <x v="9"/>
    <s v="each"/>
    <s v="S15"/>
    <x v="12"/>
    <d v="2025-10-07T00:00:00"/>
    <d v="2025-10-10T00:00:00"/>
    <n v="20623538.627"/>
    <n v="9.5100000000000004E-2"/>
    <n v="0.1133"/>
    <d v="2025-12-19T00:00:00"/>
    <x v="329"/>
    <n v="20623538.627"/>
    <s v="Standard"/>
    <n v="1"/>
    <n v="1"/>
    <n v="1"/>
    <x v="31"/>
    <x v="2"/>
    <n v="45931"/>
    <n v="1961298.5234277002"/>
    <n v="2336646.9264390999"/>
    <n v="-375348.4030113999"/>
  </r>
  <r>
    <x v="423"/>
    <s v="M17"/>
    <x v="16"/>
    <x v="10"/>
    <s v="meter"/>
    <s v="S18"/>
    <x v="15"/>
    <d v="2025-10-08T00:00:00"/>
    <d v="2025-10-09T00:00:00"/>
    <n v="12376263.365"/>
    <n v="3.8999999999999998E-3"/>
    <n v="4.1000000000000003E-3"/>
    <d v="2025-11-13T00:00:00"/>
    <x v="310"/>
    <n v="12376263.365"/>
    <s v="Standard"/>
    <n v="1"/>
    <n v="1"/>
    <n v="1"/>
    <x v="15"/>
    <x v="2"/>
    <n v="45931"/>
    <n v="48267.427123499998"/>
    <n v="50742.679796500008"/>
    <n v="-2475.2526730000063"/>
  </r>
  <r>
    <x v="424"/>
    <s v="M18"/>
    <x v="17"/>
    <x v="10"/>
    <s v="gram"/>
    <s v="S16"/>
    <x v="13"/>
    <d v="2025-10-06T00:00:00"/>
    <d v="2025-10-07T00:00:00"/>
    <n v="7216597.2489999998"/>
    <n v="2.0299999999999999E-2"/>
    <n v="2.06E-2"/>
    <d v="2025-11-11T00:00:00"/>
    <x v="313"/>
    <n v="7216597.2489999998"/>
    <s v="Standard"/>
    <n v="1"/>
    <n v="1"/>
    <n v="1"/>
    <x v="9"/>
    <x v="2"/>
    <n v="45931"/>
    <n v="146496.92415469998"/>
    <n v="148661.9033294"/>
    <n v="-2164.9791747000118"/>
  </r>
  <r>
    <x v="425"/>
    <s v="M21"/>
    <x v="20"/>
    <x v="13"/>
    <s v="each"/>
    <s v="S16"/>
    <x v="13"/>
    <d v="2025-10-06T00:00:00"/>
    <d v="2025-10-07T00:00:00"/>
    <n v="20715744.780999999"/>
    <n v="1.0800000000000001E-2"/>
    <n v="1.24E-2"/>
    <d v="2025-10-21T00:00:00"/>
    <x v="330"/>
    <n v="20715744.780999999"/>
    <s v="Standard"/>
    <n v="1"/>
    <n v="1"/>
    <n v="1"/>
    <x v="18"/>
    <x v="2"/>
    <n v="45931"/>
    <n v="223730.04363480001"/>
    <n v="256875.2352844"/>
    <n v="-33145.191649599976"/>
  </r>
  <r>
    <x v="426"/>
    <s v="M03"/>
    <x v="2"/>
    <x v="2"/>
    <s v="liter"/>
    <s v="S09"/>
    <x v="6"/>
    <d v="2025-10-13T00:00:00"/>
    <d v="2025-10-15T00:00:00"/>
    <n v="34740.370000000003"/>
    <n v="8.84"/>
    <n v="9.7799999999999994"/>
    <d v="2025-11-05T00:00:00"/>
    <x v="331"/>
    <n v="34740.370000000003"/>
    <s v="Standard"/>
    <n v="1"/>
    <n v="1"/>
    <n v="1"/>
    <x v="8"/>
    <x v="2"/>
    <n v="45931"/>
    <n v="307104.87080000003"/>
    <n v="339760.8186"/>
    <n v="-32655.947799999984"/>
  </r>
  <r>
    <x v="427"/>
    <s v="M09"/>
    <x v="8"/>
    <x v="2"/>
    <s v="liter"/>
    <s v="S09"/>
    <x v="6"/>
    <d v="2025-10-14T00:00:00"/>
    <d v="2025-10-17T00:00:00"/>
    <n v="48181.582999999999"/>
    <n v="6.79"/>
    <n v="7"/>
    <d v="2025-11-07T00:00:00"/>
    <x v="321"/>
    <n v="48181.582999999999"/>
    <s v="Standard"/>
    <n v="1"/>
    <n v="1"/>
    <n v="1"/>
    <x v="7"/>
    <x v="2"/>
    <n v="45931"/>
    <n v="327152.94857000001"/>
    <n v="337271.08100000001"/>
    <n v="-10118.132429999998"/>
  </r>
  <r>
    <x v="428"/>
    <s v="M11"/>
    <x v="10"/>
    <x v="4"/>
    <s v="each"/>
    <s v="S10"/>
    <x v="7"/>
    <d v="2025-10-15T00:00:00"/>
    <d v="2025-10-16T00:00:00"/>
    <n v="231.726"/>
    <n v="519.45000000000005"/>
    <n v="535.6"/>
    <d v="2025-11-20T00:00:00"/>
    <x v="332"/>
    <n v="211.006"/>
    <s v="Standard"/>
    <n v="1"/>
    <n v="0"/>
    <n v="0"/>
    <x v="28"/>
    <x v="2"/>
    <n v="45931"/>
    <n v="109607.06670000001"/>
    <n v="113014.81360000001"/>
    <n v="-3407.7468999999951"/>
  </r>
  <r>
    <x v="429"/>
    <s v="M15"/>
    <x v="14"/>
    <x v="8"/>
    <s v="kit"/>
    <s v="S14"/>
    <x v="11"/>
    <d v="2025-10-13T00:00:00"/>
    <d v="2025-10-15T00:00:00"/>
    <n v="2.4780000000000002"/>
    <n v="52786.75"/>
    <n v="49440"/>
    <d v="2025-11-26T00:00:00"/>
    <x v="298"/>
    <n v="2.4780000000000002"/>
    <s v="Expedite"/>
    <n v="1"/>
    <n v="1"/>
    <n v="1"/>
    <x v="4"/>
    <x v="2"/>
    <n v="45931"/>
    <n v="130805.56650000002"/>
    <n v="122512.32000000001"/>
    <n v="8293.2465000000011"/>
  </r>
  <r>
    <x v="430"/>
    <s v="M19"/>
    <x v="18"/>
    <x v="11"/>
    <s v="each"/>
    <s v="S17"/>
    <x v="14"/>
    <d v="2025-10-13T00:00:00"/>
    <d v="2025-10-16T00:00:00"/>
    <n v="2.9980000000000002"/>
    <n v="64427.92"/>
    <n v="66950"/>
    <d v="2025-12-25T00:00:00"/>
    <x v="333"/>
    <n v="2.8290000000000002"/>
    <s v="Standard"/>
    <n v="1"/>
    <n v="0"/>
    <n v="0"/>
    <x v="1"/>
    <x v="2"/>
    <n v="45931"/>
    <n v="182266.58568000002"/>
    <n v="189401.55000000002"/>
    <n v="-7134.9643200000055"/>
  </r>
  <r>
    <x v="431"/>
    <s v="M02"/>
    <x v="1"/>
    <x v="1"/>
    <s v="liter"/>
    <s v="S04"/>
    <x v="18"/>
    <d v="2025-10-22T00:00:00"/>
    <d v="2025-10-23T00:00:00"/>
    <n v="678.149"/>
    <n v="2379.29"/>
    <n v="2472"/>
    <d v="2026-01-01T00:00:00"/>
    <x v="334"/>
    <n v="604.88300000000004"/>
    <s v="Standard"/>
    <n v="1"/>
    <n v="0"/>
    <n v="0"/>
    <x v="16"/>
    <x v="2"/>
    <n v="45931"/>
    <n v="1439192.0730700002"/>
    <n v="1495270.7760000001"/>
    <n v="-56078.702930000029"/>
  </r>
  <r>
    <x v="432"/>
    <s v="M06"/>
    <x v="5"/>
    <x v="3"/>
    <s v="kg"/>
    <s v="S07"/>
    <x v="4"/>
    <d v="2025-10-21T00:00:00"/>
    <d v="2025-10-24T00:00:00"/>
    <n v="1547.2560000000001"/>
    <n v="417.37"/>
    <n v="434.97"/>
    <d v="2025-12-05T00:00:00"/>
    <x v="324"/>
    <n v="1547.2560000000001"/>
    <s v="Standard"/>
    <n v="1"/>
    <n v="1"/>
    <n v="1"/>
    <x v="5"/>
    <x v="2"/>
    <n v="45931"/>
    <n v="645778.23672000004"/>
    <n v="673009.94232000003"/>
    <n v="-27231.705600000038"/>
  </r>
  <r>
    <x v="433"/>
    <s v="M12"/>
    <x v="11"/>
    <x v="5"/>
    <s v="each"/>
    <s v="S11"/>
    <x v="8"/>
    <d v="2025-10-22T00:00:00"/>
    <d v="2025-10-25T00:00:00"/>
    <n v="11.595000000000001"/>
    <n v="9471.5300000000007"/>
    <n v="9980.7000000000007"/>
    <d v="2025-12-27T00:00:00"/>
    <x v="335"/>
    <n v="11.595000000000001"/>
    <s v="Standard"/>
    <n v="1"/>
    <n v="1"/>
    <n v="1"/>
    <x v="44"/>
    <x v="2"/>
    <n v="45931"/>
    <n v="109822.39035000002"/>
    <n v="115726.21650000001"/>
    <n v="-5903.8261500000008"/>
  </r>
  <r>
    <x v="434"/>
    <s v="M20"/>
    <x v="19"/>
    <x v="12"/>
    <s v="kit"/>
    <s v="S18"/>
    <x v="15"/>
    <d v="2025-10-20T00:00:00"/>
    <d v="2025-10-22T00:00:00"/>
    <n v="60103.904999999999"/>
    <n v="6.62"/>
    <n v="6.7"/>
    <d v="2025-12-17T00:00:00"/>
    <x v="329"/>
    <n v="60103.904999999999"/>
    <s v="Standard"/>
    <n v="1"/>
    <n v="1"/>
    <n v="1"/>
    <x v="23"/>
    <x v="2"/>
    <n v="45931"/>
    <n v="397887.85109999997"/>
    <n v="402696.16350000002"/>
    <n v="-4808.3124000000043"/>
  </r>
  <r>
    <x v="435"/>
    <s v="M04"/>
    <x v="3"/>
    <x v="3"/>
    <s v="cylinder"/>
    <s v="S05"/>
    <x v="3"/>
    <d v="2025-10-29T00:00:00"/>
    <d v="2025-10-31T00:00:00"/>
    <n v="116.26"/>
    <n v="1993.51"/>
    <n v="1905.5"/>
    <d v="2025-12-26T00:00:00"/>
    <x v="336"/>
    <n v="116.26"/>
    <s v="Standard"/>
    <n v="1"/>
    <n v="1"/>
    <n v="1"/>
    <x v="23"/>
    <x v="2"/>
    <n v="45931"/>
    <n v="231765.47260000001"/>
    <n v="221533.43000000002"/>
    <n v="10232.042599999999"/>
  </r>
  <r>
    <x v="436"/>
    <s v="M05"/>
    <x v="4"/>
    <x v="3"/>
    <s v="kg"/>
    <s v="S08"/>
    <x v="5"/>
    <d v="2025-10-29T00:00:00"/>
    <d v="2025-11-01T00:00:00"/>
    <n v="17392.5"/>
    <n v="27.13"/>
    <n v="28.84"/>
    <d v="2025-12-13T00:00:00"/>
    <x v="337"/>
    <n v="17392.5"/>
    <s v="Standard"/>
    <n v="1"/>
    <n v="1"/>
    <n v="1"/>
    <x v="4"/>
    <x v="2"/>
    <n v="45962"/>
    <n v="471858.52499999997"/>
    <n v="501599.7"/>
    <n v="-29741.175000000014"/>
  </r>
  <r>
    <x v="437"/>
    <s v="M08"/>
    <x v="7"/>
    <x v="2"/>
    <s v="liter"/>
    <s v="S09"/>
    <x v="6"/>
    <d v="2025-10-28T00:00:00"/>
    <d v="2025-10-29T00:00:00"/>
    <n v="116001.489"/>
    <n v="3.97"/>
    <n v="4.17"/>
    <d v="2025-11-19T00:00:00"/>
    <x v="338"/>
    <n v="116001.489"/>
    <s v="Standard"/>
    <n v="1"/>
    <n v="1"/>
    <n v="1"/>
    <x v="8"/>
    <x v="2"/>
    <n v="45931"/>
    <n v="460525.91133000003"/>
    <n v="483726.20912999997"/>
    <n v="-23200.297799999971"/>
  </r>
  <r>
    <x v="438"/>
    <s v="M01"/>
    <x v="0"/>
    <x v="0"/>
    <s v="wafer"/>
    <s v="S02"/>
    <x v="17"/>
    <d v="2025-11-05T00:00:00"/>
    <d v="2025-11-07T00:00:00"/>
    <n v="19212.985000000001"/>
    <n v="103.62"/>
    <n v="107.13"/>
    <d v="2025-12-19T00:00:00"/>
    <x v="339"/>
    <n v="19212.985000000001"/>
    <s v="Standard"/>
    <n v="1"/>
    <n v="1"/>
    <n v="1"/>
    <x v="4"/>
    <x v="2"/>
    <n v="45962"/>
    <n v="1990849.5057000001"/>
    <n v="2058287.08305"/>
    <n v="-67437.577349999832"/>
  </r>
  <r>
    <x v="439"/>
    <s v="M07"/>
    <x v="6"/>
    <x v="3"/>
    <s v="kg"/>
    <s v="S08"/>
    <x v="5"/>
    <d v="2025-11-03T00:00:00"/>
    <d v="2025-11-05T00:00:00"/>
    <n v="2304.402"/>
    <n v="162.27000000000001"/>
    <n v="164.8"/>
    <d v="2025-12-03T00:00:00"/>
    <x v="340"/>
    <n v="2304.402"/>
    <s v="Standard"/>
    <n v="1"/>
    <n v="1"/>
    <n v="1"/>
    <x v="24"/>
    <x v="2"/>
    <n v="45962"/>
    <n v="373935.31254000001"/>
    <n v="379765.44960000005"/>
    <n v="-5830.1370600000027"/>
  </r>
  <r>
    <x v="440"/>
    <s v="M10"/>
    <x v="9"/>
    <x v="4"/>
    <s v="liter"/>
    <s v="S06"/>
    <x v="2"/>
    <d v="2025-11-04T00:00:00"/>
    <d v="2025-11-05T00:00:00"/>
    <n v="11520"/>
    <n v="34.93"/>
    <n v="39.14"/>
    <d v="2025-12-10T00:00:00"/>
    <x v="341"/>
    <n v="11520"/>
    <s v="Standard"/>
    <n v="1"/>
    <n v="1"/>
    <n v="1"/>
    <x v="15"/>
    <x v="2"/>
    <n v="45962"/>
    <n v="402393.59999999998"/>
    <n v="450892.79999999999"/>
    <n v="-48499.200000000012"/>
  </r>
  <r>
    <x v="441"/>
    <s v="M13"/>
    <x v="12"/>
    <x v="6"/>
    <s v="kg"/>
    <s v="S12"/>
    <x v="9"/>
    <d v="2025-11-05T00:00:00"/>
    <d v="2025-11-07T00:00:00"/>
    <n v="76.8"/>
    <n v="3965.68"/>
    <n v="4017"/>
    <d v="2026-01-16T00:00:00"/>
    <x v="342"/>
    <n v="76.8"/>
    <s v="Standard"/>
    <n v="1"/>
    <n v="1"/>
    <n v="1"/>
    <x v="16"/>
    <x v="2"/>
    <n v="45962"/>
    <n v="304564.22399999999"/>
    <n v="308505.59999999998"/>
    <n v="-3941.3760000000125"/>
  </r>
  <r>
    <x v="442"/>
    <s v="M14"/>
    <x v="13"/>
    <x v="7"/>
    <s v="kit"/>
    <s v="S13"/>
    <x v="10"/>
    <d v="2025-11-03T00:00:00"/>
    <d v="2025-11-08T00:00:00"/>
    <n v="15.36"/>
    <n v="6155.45"/>
    <n v="6386"/>
    <d v="2025-12-27T00:00:00"/>
    <x v="343"/>
    <n v="15.36"/>
    <s v="Standard"/>
    <n v="0"/>
    <n v="1"/>
    <n v="0"/>
    <x v="23"/>
    <x v="2"/>
    <n v="45962"/>
    <n v="94547.712"/>
    <n v="98088.959999999992"/>
    <n v="-3541.2480000000028"/>
  </r>
  <r>
    <x v="443"/>
    <s v="M16"/>
    <x v="15"/>
    <x v="9"/>
    <s v="each"/>
    <s v="S16"/>
    <x v="13"/>
    <d v="2025-11-10T00:00:00"/>
    <d v="2025-11-12T00:00:00"/>
    <n v="21330049.478999998"/>
    <n v="9.4899999999999998E-2"/>
    <n v="0.1133"/>
    <d v="2026-01-21T00:00:00"/>
    <x v="344"/>
    <n v="21330049.478999998"/>
    <s v="Standard"/>
    <n v="1"/>
    <n v="1"/>
    <n v="1"/>
    <x v="31"/>
    <x v="2"/>
    <n v="45962"/>
    <n v="2024221.6955570998"/>
    <n v="2416694.6059706998"/>
    <n v="-392472.91041359998"/>
  </r>
  <r>
    <x v="444"/>
    <s v="M17"/>
    <x v="16"/>
    <x v="10"/>
    <s v="meter"/>
    <s v="S18"/>
    <x v="15"/>
    <d v="2025-11-12T00:00:00"/>
    <d v="2025-11-13T00:00:00"/>
    <n v="12641229.801999999"/>
    <n v="4.1000000000000003E-3"/>
    <n v="4.1000000000000003E-3"/>
    <d v="2025-12-18T00:00:00"/>
    <x v="329"/>
    <n v="12641229.801999999"/>
    <s v="Standard"/>
    <n v="1"/>
    <n v="1"/>
    <n v="1"/>
    <x v="15"/>
    <x v="2"/>
    <n v="45962"/>
    <n v="51829.042188200001"/>
    <n v="51829.042188200001"/>
    <n v="0"/>
  </r>
  <r>
    <x v="445"/>
    <s v="M18"/>
    <x v="17"/>
    <x v="10"/>
    <s v="gram"/>
    <s v="S16"/>
    <x v="13"/>
    <d v="2025-11-11T00:00:00"/>
    <d v="2025-11-14T00:00:00"/>
    <n v="7377520.6560000004"/>
    <n v="2.0199999999999999E-2"/>
    <n v="2.06E-2"/>
    <d v="2025-12-19T00:00:00"/>
    <x v="345"/>
    <n v="7377520.6560000004"/>
    <s v="Standard"/>
    <n v="1"/>
    <n v="1"/>
    <n v="1"/>
    <x v="28"/>
    <x v="2"/>
    <n v="45962"/>
    <n v="149025.91725120001"/>
    <n v="151976.9255136"/>
    <n v="-2951.0082624000079"/>
  </r>
  <r>
    <x v="446"/>
    <s v="M20"/>
    <x v="19"/>
    <x v="12"/>
    <s v="kit"/>
    <s v="S18"/>
    <x v="15"/>
    <d v="2025-11-12T00:00:00"/>
    <d v="2025-11-16T00:00:00"/>
    <n v="57616.514999999999"/>
    <n v="6.69"/>
    <n v="6.7"/>
    <d v="2026-01-11T00:00:00"/>
    <x v="346"/>
    <n v="57616.514999999999"/>
    <s v="Standard"/>
    <n v="1"/>
    <n v="1"/>
    <n v="1"/>
    <x v="29"/>
    <x v="2"/>
    <n v="45962"/>
    <n v="385454.48535000003"/>
    <n v="386030.65049999999"/>
    <n v="-576.16514999998776"/>
  </r>
  <r>
    <x v="447"/>
    <s v="M21"/>
    <x v="20"/>
    <x v="13"/>
    <s v="each"/>
    <s v="S16"/>
    <x v="13"/>
    <d v="2025-11-12T00:00:00"/>
    <d v="2025-11-14T00:00:00"/>
    <n v="21183221.914999999"/>
    <n v="1.0500000000000001E-2"/>
    <n v="1.24E-2"/>
    <d v="2025-11-28T00:00:00"/>
    <x v="340"/>
    <n v="21183221.914999999"/>
    <s v="Standard"/>
    <n v="0"/>
    <n v="1"/>
    <n v="0"/>
    <x v="65"/>
    <x v="2"/>
    <n v="45962"/>
    <n v="222423.83010749999"/>
    <n v="262671.95174599998"/>
    <n v="-40248.121638499979"/>
  </r>
  <r>
    <x v="448"/>
    <s v="M03"/>
    <x v="2"/>
    <x v="2"/>
    <s v="liter"/>
    <s v="S06"/>
    <x v="2"/>
    <d v="2025-11-17T00:00:00"/>
    <d v="2025-11-20T00:00:00"/>
    <n v="43138.567000000003"/>
    <n v="8.92"/>
    <n v="9.7799999999999994"/>
    <d v="2025-12-11T00:00:00"/>
    <x v="347"/>
    <n v="43138.567000000003"/>
    <s v="Standard"/>
    <n v="1"/>
    <n v="1"/>
    <n v="1"/>
    <x v="22"/>
    <x v="2"/>
    <n v="45962"/>
    <n v="384796.01764000003"/>
    <n v="421895.18526"/>
    <n v="-37099.167619999978"/>
  </r>
  <r>
    <x v="449"/>
    <s v="M09"/>
    <x v="8"/>
    <x v="2"/>
    <s v="liter"/>
    <s v="S09"/>
    <x v="6"/>
    <d v="2025-11-19T00:00:00"/>
    <d v="2025-11-21T00:00:00"/>
    <n v="52703.487000000001"/>
    <n v="6.88"/>
    <n v="7"/>
    <d v="2025-12-12T00:00:00"/>
    <x v="348"/>
    <n v="52703.487000000001"/>
    <s v="Standard"/>
    <n v="1"/>
    <n v="1"/>
    <n v="1"/>
    <x v="2"/>
    <x v="2"/>
    <n v="45962"/>
    <n v="362599.99056000001"/>
    <n v="368924.40899999999"/>
    <n v="-6324.4184400000058"/>
  </r>
  <r>
    <x v="450"/>
    <s v="M11"/>
    <x v="10"/>
    <x v="4"/>
    <s v="each"/>
    <s v="S10"/>
    <x v="7"/>
    <d v="2025-11-19T00:00:00"/>
    <d v="2025-11-22T00:00:00"/>
    <n v="308.334"/>
    <n v="513.26"/>
    <n v="535.6"/>
    <d v="2025-12-27T00:00:00"/>
    <x v="336"/>
    <n v="308.334"/>
    <s v="Standard"/>
    <n v="1"/>
    <n v="1"/>
    <n v="1"/>
    <x v="15"/>
    <x v="2"/>
    <n v="45962"/>
    <n v="158255.50883999999"/>
    <n v="165143.69040000002"/>
    <n v="-6888.18156000001"/>
  </r>
  <r>
    <x v="451"/>
    <s v="M15"/>
    <x v="14"/>
    <x v="8"/>
    <s v="kit"/>
    <s v="S14"/>
    <x v="11"/>
    <d v="2025-11-18T00:00:00"/>
    <d v="2025-11-22T00:00:00"/>
    <n v="3.1230000000000002"/>
    <n v="46952.71"/>
    <n v="49440"/>
    <d v="2026-03-28T00:00:00"/>
    <x v="349"/>
    <n v="3.1230000000000002"/>
    <s v="Standard"/>
    <n v="1"/>
    <n v="1"/>
    <n v="1"/>
    <x v="19"/>
    <x v="2"/>
    <n v="45962"/>
    <n v="146633.31333"/>
    <n v="154401.12000000002"/>
    <n v="-7767.8066700000036"/>
  </r>
  <r>
    <x v="452"/>
    <s v="M02"/>
    <x v="1"/>
    <x v="1"/>
    <s v="liter"/>
    <s v="S03"/>
    <x v="1"/>
    <d v="2025-11-25T00:00:00"/>
    <d v="2025-11-28T00:00:00"/>
    <n v="839.18499999999995"/>
    <n v="2364.83"/>
    <n v="2472"/>
    <d v="2026-02-06T00:00:00"/>
    <x v="350"/>
    <n v="839.18499999999995"/>
    <s v="Standard"/>
    <n v="1"/>
    <n v="1"/>
    <n v="1"/>
    <x v="31"/>
    <x v="2"/>
    <n v="45962"/>
    <n v="1984529.8635499999"/>
    <n v="2074465.3199999998"/>
    <n v="-89935.456450000056"/>
  </r>
  <r>
    <x v="453"/>
    <s v="M06"/>
    <x v="5"/>
    <x v="3"/>
    <s v="kg"/>
    <s v="S07"/>
    <x v="4"/>
    <d v="2025-11-26T00:00:00"/>
    <d v="2025-11-30T00:00:00"/>
    <n v="1914"/>
    <n v="423.33"/>
    <n v="434.97"/>
    <d v="2026-01-11T00:00:00"/>
    <x v="351"/>
    <n v="1914"/>
    <s v="Standard"/>
    <n v="1"/>
    <n v="1"/>
    <n v="1"/>
    <x v="4"/>
    <x v="2"/>
    <n v="45962"/>
    <n v="810253.62"/>
    <n v="832532.58000000007"/>
    <n v="-22278.960000000083"/>
  </r>
  <r>
    <x v="454"/>
    <s v="M12"/>
    <x v="11"/>
    <x v="5"/>
    <s v="each"/>
    <s v="S11"/>
    <x v="8"/>
    <d v="2025-11-24T00:00:00"/>
    <d v="2025-11-26T00:00:00"/>
    <n v="14.355"/>
    <n v="9859.75"/>
    <n v="9980.7000000000007"/>
    <d v="2026-01-28T00:00:00"/>
    <x v="352"/>
    <n v="14.355"/>
    <s v="Standard"/>
    <n v="1"/>
    <n v="1"/>
    <n v="1"/>
    <x v="64"/>
    <x v="2"/>
    <n v="45962"/>
    <n v="141536.71124999999"/>
    <n v="143272.94850000003"/>
    <n v="-1736.2372500000106"/>
  </r>
  <r>
    <x v="455"/>
    <s v="M04"/>
    <x v="3"/>
    <x v="3"/>
    <s v="cylinder"/>
    <s v="S05"/>
    <x v="3"/>
    <d v="2025-12-02T00:00:00"/>
    <d v="2025-12-05T00:00:00"/>
    <n v="143.4"/>
    <n v="2164.06"/>
    <n v="1905.5"/>
    <d v="2025-12-19T00:00:00"/>
    <x v="320"/>
    <n v="143.4"/>
    <s v="Expedite"/>
    <n v="1"/>
    <n v="1"/>
    <n v="1"/>
    <x v="18"/>
    <x v="2"/>
    <n v="45992"/>
    <n v="310326.20400000003"/>
    <n v="273248.7"/>
    <n v="37077.503999999994"/>
  </r>
  <r>
    <x v="456"/>
    <s v="M05"/>
    <x v="4"/>
    <x v="3"/>
    <s v="kg"/>
    <s v="S08"/>
    <x v="5"/>
    <d v="2025-12-01T00:00:00"/>
    <d v="2025-12-03T00:00:00"/>
    <n v="21514.986000000001"/>
    <n v="26.76"/>
    <n v="28.84"/>
    <d v="2026-01-14T00:00:00"/>
    <x v="353"/>
    <n v="21514.986000000001"/>
    <s v="Standard"/>
    <n v="1"/>
    <n v="1"/>
    <n v="1"/>
    <x v="5"/>
    <x v="2"/>
    <n v="45992"/>
    <n v="575741.02536000009"/>
    <n v="620492.19624000008"/>
    <n v="-44751.170879999961"/>
  </r>
  <r>
    <x v="457"/>
    <s v="M08"/>
    <x v="7"/>
    <x v="2"/>
    <s v="liter"/>
    <s v="S09"/>
    <x v="6"/>
    <d v="2025-12-01T00:00:00"/>
    <d v="2025-12-03T00:00:00"/>
    <n v="143491.76999999999"/>
    <n v="4.0599999999999996"/>
    <n v="4.17"/>
    <d v="2025-12-24T00:00:00"/>
    <x v="333"/>
    <n v="143491.76999999999"/>
    <s v="Standard"/>
    <n v="1"/>
    <n v="1"/>
    <n v="1"/>
    <x v="7"/>
    <x v="2"/>
    <n v="45992"/>
    <n v="582576.5861999999"/>
    <n v="598360.68089999992"/>
    <n v="-15784.094700000045"/>
  </r>
  <r>
    <x v="458"/>
    <s v="M15"/>
    <x v="14"/>
    <x v="8"/>
    <s v="kit"/>
    <s v="S14"/>
    <x v="11"/>
    <d v="2025-12-03T00:00:00"/>
    <d v="2025-12-06T00:00:00"/>
    <n v="3.91"/>
    <n v="49335.48"/>
    <n v="49440"/>
    <d v="2026-04-11T00:00:00"/>
    <x v="354"/>
    <n v="3.91"/>
    <s v="Standard"/>
    <n v="1"/>
    <n v="1"/>
    <n v="1"/>
    <x v="51"/>
    <x v="2"/>
    <n v="45992"/>
    <n v="192901.72680000003"/>
    <n v="193310.4"/>
    <n v="-408.6731999999875"/>
  </r>
  <r>
    <x v="459"/>
    <s v="M20"/>
    <x v="19"/>
    <x v="12"/>
    <s v="kit"/>
    <s v="S18"/>
    <x v="15"/>
    <d v="2025-12-03T00:00:00"/>
    <d v="2025-12-05T00:00:00"/>
    <n v="56715.135999999999"/>
    <n v="6.37"/>
    <n v="6.7"/>
    <d v="2026-01-30T00:00:00"/>
    <x v="355"/>
    <n v="56715.135999999999"/>
    <s v="Standard"/>
    <n v="1"/>
    <n v="1"/>
    <n v="1"/>
    <x v="29"/>
    <x v="2"/>
    <n v="45992"/>
    <n v="361275.41632000002"/>
    <n v="379991.41119999997"/>
    <n v="-18715.994880000002"/>
  </r>
  <r>
    <x v="460"/>
    <s v="M15"/>
    <x v="14"/>
    <x v="8"/>
    <s v="kit"/>
    <s v="S14"/>
    <x v="11"/>
    <d v="2025-12-08T00:00:00"/>
    <d v="2025-12-09T00:00:00"/>
    <n v="4"/>
    <n v="49228.43"/>
    <n v="49440"/>
    <d v="2026-04-14T00:00:00"/>
    <x v="356"/>
    <n v="4"/>
    <s v="Standard"/>
    <n v="1"/>
    <n v="1"/>
    <n v="1"/>
    <x v="19"/>
    <x v="2"/>
    <n v="45992"/>
    <n v="196913.72"/>
    <n v="197760"/>
    <n v="-846.27999999999884"/>
  </r>
  <r>
    <x v="461"/>
    <s v="M01"/>
    <x v="0"/>
    <x v="0"/>
    <s v="wafer"/>
    <s v="S01"/>
    <x v="0"/>
    <d v="2025-12-16T00:00:00"/>
    <d v="2025-12-18T00:00:00"/>
    <n v="23905.557000000001"/>
    <n v="105.45"/>
    <n v="107.13"/>
    <d v="2026-01-29T00:00:00"/>
    <x v="357"/>
    <n v="23905.557000000001"/>
    <s v="Standard"/>
    <n v="1"/>
    <n v="1"/>
    <n v="1"/>
    <x v="4"/>
    <x v="2"/>
    <n v="45992"/>
    <n v="2520840.9856500002"/>
    <n v="2561002.3214099999"/>
    <n v="-40161.335759999827"/>
  </r>
  <r>
    <x v="462"/>
    <s v="M07"/>
    <x v="6"/>
    <x v="3"/>
    <s v="kg"/>
    <s v="S08"/>
    <x v="5"/>
    <d v="2025-12-17T00:00:00"/>
    <d v="2025-12-19T00:00:00"/>
    <n v="2868.009"/>
    <n v="159.88"/>
    <n v="164.8"/>
    <d v="2026-01-16T00:00:00"/>
    <x v="342"/>
    <n v="2868.009"/>
    <s v="Standard"/>
    <n v="1"/>
    <n v="1"/>
    <n v="1"/>
    <x v="34"/>
    <x v="2"/>
    <n v="45992"/>
    <n v="458537.27892000001"/>
    <n v="472647.88320000004"/>
    <n v="-14110.604280000045"/>
  </r>
  <r>
    <x v="463"/>
    <s v="M10"/>
    <x v="9"/>
    <x v="4"/>
    <s v="liter"/>
    <s v="S06"/>
    <x v="2"/>
    <d v="2025-12-16T00:00:00"/>
    <d v="2025-12-18T00:00:00"/>
    <n v="14340.507"/>
    <n v="35.89"/>
    <n v="39.14"/>
    <d v="2026-01-22T00:00:00"/>
    <x v="358"/>
    <n v="14340.507"/>
    <s v="Standard"/>
    <n v="1"/>
    <n v="1"/>
    <n v="1"/>
    <x v="9"/>
    <x v="2"/>
    <n v="45992"/>
    <n v="514680.79622999998"/>
    <n v="561287.44397999998"/>
    <n v="-46606.647749999996"/>
  </r>
  <r>
    <x v="464"/>
    <s v="M13"/>
    <x v="12"/>
    <x v="6"/>
    <s v="kg"/>
    <s v="S12"/>
    <x v="9"/>
    <d v="2025-12-15T00:00:00"/>
    <d v="2025-12-18T00:00:00"/>
    <n v="95.798000000000002"/>
    <n v="3981.54"/>
    <n v="4017"/>
    <d v="2026-02-26T00:00:00"/>
    <x v="359"/>
    <n v="95.798000000000002"/>
    <s v="Standard"/>
    <n v="1"/>
    <n v="1"/>
    <n v="1"/>
    <x v="1"/>
    <x v="2"/>
    <n v="45992"/>
    <n v="381423.56891999999"/>
    <n v="384820.56599999999"/>
    <n v="-3396.9970800000037"/>
  </r>
  <r>
    <x v="465"/>
    <s v="M14"/>
    <x v="13"/>
    <x v="7"/>
    <s v="kit"/>
    <s v="S13"/>
    <x v="10"/>
    <d v="2025-12-15T00:00:00"/>
    <d v="2025-12-18T00:00:00"/>
    <n v="19.12"/>
    <n v="6243.96"/>
    <n v="6386"/>
    <d v="2026-02-05T00:00:00"/>
    <x v="360"/>
    <n v="14.519"/>
    <s v="Standard"/>
    <n v="1"/>
    <n v="0"/>
    <n v="0"/>
    <x v="36"/>
    <x v="2"/>
    <n v="45992"/>
    <n v="90656.055240000002"/>
    <n v="92718.334000000003"/>
    <n v="-2062.2787599999997"/>
  </r>
  <r>
    <x v="466"/>
    <s v="M16"/>
    <x v="15"/>
    <x v="9"/>
    <s v="each"/>
    <s v="S16"/>
    <x v="13"/>
    <d v="2025-12-15T00:00:00"/>
    <d v="2025-12-18T00:00:00"/>
    <n v="21274803.572999999"/>
    <n v="9.7100000000000006E-2"/>
    <n v="0.1133"/>
    <d v="2026-02-26T00:00:00"/>
    <x v="361"/>
    <n v="21274803.572999999"/>
    <s v="Standard"/>
    <n v="1"/>
    <n v="1"/>
    <n v="1"/>
    <x v="16"/>
    <x v="2"/>
    <n v="45992"/>
    <n v="2065783.4269383"/>
    <n v="2410435.2448208998"/>
    <n v="-344651.81788259983"/>
  </r>
  <r>
    <x v="467"/>
    <s v="M17"/>
    <x v="16"/>
    <x v="10"/>
    <s v="meter"/>
    <s v="S18"/>
    <x v="15"/>
    <d v="2025-12-16T00:00:00"/>
    <d v="2025-12-20T00:00:00"/>
    <n v="12681040.828"/>
    <n v="4.0000000000000001E-3"/>
    <n v="4.1000000000000003E-3"/>
    <d v="2026-01-24T00:00:00"/>
    <x v="358"/>
    <n v="12681040.828"/>
    <s v="Standard"/>
    <n v="1"/>
    <n v="1"/>
    <n v="1"/>
    <x v="10"/>
    <x v="2"/>
    <n v="45992"/>
    <n v="50724.163311999997"/>
    <n v="51992.267394800001"/>
    <n v="-1268.1040828000032"/>
  </r>
  <r>
    <x v="468"/>
    <s v="M18"/>
    <x v="17"/>
    <x v="10"/>
    <s v="gram"/>
    <s v="S16"/>
    <x v="13"/>
    <d v="2025-12-17T00:00:00"/>
    <d v="2025-12-18T00:00:00"/>
    <n v="7406071.9500000002"/>
    <n v="1.9800000000000002E-2"/>
    <n v="2.06E-2"/>
    <d v="2026-01-22T00:00:00"/>
    <x v="362"/>
    <n v="7406071.9500000002"/>
    <s v="Standard"/>
    <n v="0"/>
    <n v="1"/>
    <n v="0"/>
    <x v="66"/>
    <x v="2"/>
    <n v="45992"/>
    <n v="146640.22461"/>
    <n v="152565.08217000001"/>
    <n v="-5924.8575599999904"/>
  </r>
  <r>
    <x v="469"/>
    <s v="M21"/>
    <x v="20"/>
    <x v="13"/>
    <s v="each"/>
    <s v="S19"/>
    <x v="16"/>
    <d v="2025-12-16T00:00:00"/>
    <d v="2025-12-17T00:00:00"/>
    <n v="21253185.397999998"/>
    <n v="1.0800000000000001E-2"/>
    <n v="1.24E-2"/>
    <d v="2025-12-31T00:00:00"/>
    <x v="363"/>
    <n v="21253185.397999998"/>
    <s v="Standard"/>
    <n v="1"/>
    <n v="1"/>
    <n v="1"/>
    <x v="40"/>
    <x v="2"/>
    <n v="45992"/>
    <n v="229534.4022984"/>
    <n v="263539.49893519998"/>
    <n v="-34005.096636799979"/>
  </r>
  <r>
    <x v="470"/>
    <s v="M04"/>
    <x v="3"/>
    <x v="3"/>
    <s v="cylinder"/>
    <s v="S05"/>
    <x v="3"/>
    <d v="2025-12-23T00:00:00"/>
    <d v="2025-12-28T00:00:00"/>
    <n v="118.696"/>
    <n v="1945.26"/>
    <n v="1905.5"/>
    <d v="2026-02-22T00:00:00"/>
    <x v="364"/>
    <n v="118.696"/>
    <s v="Standard"/>
    <n v="1"/>
    <n v="1"/>
    <n v="1"/>
    <x v="23"/>
    <x v="2"/>
    <n v="45992"/>
    <n v="230894.58095999999"/>
    <n v="226175.228"/>
    <n v="4719.3529599999993"/>
  </r>
  <r>
    <x v="471"/>
    <s v="M20"/>
    <x v="19"/>
    <x v="12"/>
    <s v="kit"/>
    <s v="S18"/>
    <x v="15"/>
    <d v="2025-12-23T00:00:00"/>
    <d v="2025-12-25T00:00:00"/>
    <n v="63340.781000000003"/>
    <n v="6.51"/>
    <n v="6.7"/>
    <d v="2026-02-19T00:00:00"/>
    <x v="365"/>
    <n v="63340.781000000003"/>
    <s v="Standard"/>
    <n v="1"/>
    <n v="1"/>
    <n v="1"/>
    <x v="29"/>
    <x v="2"/>
    <n v="45992"/>
    <n v="412348.48431000003"/>
    <n v="424383.23270000005"/>
    <n v="-12034.74839000002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0">
  <r>
    <s v="RCV000013"/>
    <s v="PO000014"/>
    <d v="2023-11-01T00:00:00"/>
    <s v="M14"/>
    <x v="0"/>
    <s v="Chamber parts"/>
    <s v="kit"/>
    <s v="S13"/>
    <x v="0"/>
    <n v="24.96"/>
    <n v="0"/>
    <m/>
    <x v="0"/>
  </r>
  <r>
    <s v="RCV000017"/>
    <s v="PO000012"/>
    <d v="2023-11-14T00:00:00"/>
    <s v="M12"/>
    <x v="1"/>
    <s v="Sputtering targets"/>
    <s v="each"/>
    <s v="S11"/>
    <x v="1"/>
    <n v="18.72"/>
    <n v="0"/>
    <m/>
    <x v="0"/>
  </r>
  <r>
    <s v="RCV000023"/>
    <s v="PO000019"/>
    <d v="2023-11-22T00:00:00"/>
    <s v="M19"/>
    <x v="2"/>
    <s v="Probe cards"/>
    <s v="each"/>
    <s v="S17"/>
    <x v="2"/>
    <n v="1.375"/>
    <n v="0"/>
    <m/>
    <x v="0"/>
  </r>
  <r>
    <s v="RCV000036"/>
    <s v="PO000036"/>
    <d v="2023-12-27T00:00:00"/>
    <s v="M12"/>
    <x v="1"/>
    <s v="Sputtering targets"/>
    <s v="each"/>
    <s v="S11"/>
    <x v="1"/>
    <n v="17.234999999999999"/>
    <n v="0"/>
    <m/>
    <x v="0"/>
  </r>
  <r>
    <s v="RCV000044"/>
    <s v="PO000038"/>
    <d v="2024-01-09T00:00:00"/>
    <s v="M14"/>
    <x v="0"/>
    <s v="Chamber parts"/>
    <s v="kit"/>
    <s v="S13"/>
    <x v="0"/>
    <n v="22.98"/>
    <n v="0"/>
    <m/>
    <x v="1"/>
  </r>
  <r>
    <s v="RCV000048"/>
    <s v="PO000015"/>
    <d v="2024-01-15T00:00:00"/>
    <s v="M15"/>
    <x v="3"/>
    <s v="Litho spare parts"/>
    <s v="kit"/>
    <s v="S14"/>
    <x v="3"/>
    <n v="3.0249999999999999"/>
    <n v="0"/>
    <m/>
    <x v="1"/>
  </r>
  <r>
    <s v="RCV000055"/>
    <s v="PO000062"/>
    <d v="2024-01-25T00:00:00"/>
    <s v="M14"/>
    <x v="0"/>
    <s v="Chamber parts"/>
    <s v="kit"/>
    <s v="S13"/>
    <x v="0"/>
    <n v="23"/>
    <n v="0"/>
    <m/>
    <x v="1"/>
  </r>
  <r>
    <s v="RCV000057"/>
    <s v="PO000022"/>
    <d v="2024-01-30T00:00:00"/>
    <s v="M15"/>
    <x v="3"/>
    <s v="Litho spare parts"/>
    <s v="kit"/>
    <s v="S14"/>
    <x v="3"/>
    <n v="3"/>
    <n v="0"/>
    <m/>
    <x v="1"/>
  </r>
  <r>
    <s v="RCV000061"/>
    <s v="PO000061"/>
    <d v="2024-02-08T00:00:00"/>
    <s v="M12"/>
    <x v="1"/>
    <s v="Sputtering targets"/>
    <s v="each"/>
    <s v="S11"/>
    <x v="1"/>
    <n v="17.25"/>
    <n v="0"/>
    <m/>
    <x v="1"/>
  </r>
  <r>
    <s v="RCV000067"/>
    <s v="PO000039"/>
    <d v="2024-02-28T00:00:00"/>
    <s v="M15"/>
    <x v="3"/>
    <s v="Litho spare parts"/>
    <s v="kit"/>
    <s v="S14"/>
    <x v="3"/>
    <n v="3"/>
    <n v="0"/>
    <m/>
    <x v="1"/>
  </r>
  <r>
    <s v="RCV000079"/>
    <s v="PO000068"/>
    <d v="2024-03-14T00:00:00"/>
    <s v="M19"/>
    <x v="2"/>
    <s v="Probe cards"/>
    <s v="each"/>
    <s v="S17"/>
    <x v="2"/>
    <n v="2"/>
    <n v="0"/>
    <m/>
    <x v="1"/>
  </r>
  <r>
    <s v="RCV000080"/>
    <s v="PO000082"/>
    <d v="2024-03-13T00:00:00"/>
    <s v="M14"/>
    <x v="0"/>
    <s v="Chamber parts"/>
    <s v="kit"/>
    <s v="S13"/>
    <x v="0"/>
    <n v="21.18"/>
    <n v="0"/>
    <m/>
    <x v="1"/>
  </r>
  <r>
    <s v="RCV000085"/>
    <s v="PO000081"/>
    <d v="2024-03-18T00:00:00"/>
    <s v="M12"/>
    <x v="1"/>
    <s v="Sputtering targets"/>
    <s v="each"/>
    <s v="S11"/>
    <x v="1"/>
    <n v="17.234999999999999"/>
    <n v="0"/>
    <m/>
    <x v="1"/>
  </r>
  <r>
    <s v="RCV000089"/>
    <s v="PO000043"/>
    <d v="2024-03-26T00:00:00"/>
    <s v="M15"/>
    <x v="3"/>
    <s v="Litho spare parts"/>
    <s v="kit"/>
    <s v="S14"/>
    <x v="3"/>
    <n v="4"/>
    <n v="0"/>
    <m/>
    <x v="1"/>
  </r>
  <r>
    <s v="RCV000100"/>
    <s v="PO000102"/>
    <d v="2024-04-15T00:00:00"/>
    <s v="M14"/>
    <x v="0"/>
    <s v="Chamber parts"/>
    <s v="kit"/>
    <s v="S13"/>
    <x v="0"/>
    <n v="20.72"/>
    <n v="0"/>
    <m/>
    <x v="1"/>
  </r>
  <r>
    <s v="RCV000104"/>
    <s v="PO000101"/>
    <d v="2024-05-03T00:00:00"/>
    <s v="M12"/>
    <x v="1"/>
    <s v="Sputtering targets"/>
    <s v="each"/>
    <s v="S11"/>
    <x v="1"/>
    <n v="15.54"/>
    <n v="0"/>
    <m/>
    <x v="1"/>
  </r>
  <r>
    <s v="RCV000118"/>
    <s v="PO000083"/>
    <d v="2024-05-28T00:00:00"/>
    <s v="M15"/>
    <x v="3"/>
    <s v="Litho spare parts"/>
    <s v="kit"/>
    <s v="S14"/>
    <x v="3"/>
    <n v="3.55"/>
    <n v="0"/>
    <m/>
    <x v="1"/>
  </r>
  <r>
    <s v="RCV000121"/>
    <s v="PO000123"/>
    <d v="2024-05-31T00:00:00"/>
    <s v="M14"/>
    <x v="0"/>
    <s v="Chamber parts"/>
    <s v="kit"/>
    <s v="S13"/>
    <x v="0"/>
    <n v="23"/>
    <n v="0"/>
    <m/>
    <x v="1"/>
  </r>
  <r>
    <s v="RCV000126"/>
    <s v="PO000122"/>
    <d v="2024-06-11T00:00:00"/>
    <s v="M12"/>
    <x v="1"/>
    <s v="Sputtering targets"/>
    <s v="each"/>
    <s v="S11"/>
    <x v="1"/>
    <n v="17.25"/>
    <n v="0"/>
    <m/>
    <x v="1"/>
  </r>
  <r>
    <s v="RCV000129"/>
    <s v="PO000133"/>
    <d v="2024-06-11T00:00:00"/>
    <s v="M15"/>
    <x v="3"/>
    <s v="Litho spare parts"/>
    <s v="kit"/>
    <s v="S14"/>
    <x v="3"/>
    <n v="3"/>
    <n v="0"/>
    <m/>
    <x v="1"/>
  </r>
  <r>
    <s v="RCV000141"/>
    <s v="PO000103"/>
    <d v="2024-07-11T00:00:00"/>
    <s v="M15"/>
    <x v="3"/>
    <s v="Litho spare parts"/>
    <s v="kit"/>
    <s v="S14"/>
    <x v="3"/>
    <n v="4"/>
    <n v="0"/>
    <m/>
    <x v="1"/>
  </r>
  <r>
    <s v="RCV000146"/>
    <s v="PO000142"/>
    <d v="2024-07-19T00:00:00"/>
    <s v="M14"/>
    <x v="0"/>
    <s v="Chamber parts"/>
    <s v="kit"/>
    <s v="S13"/>
    <x v="0"/>
    <n v="19.2"/>
    <n v="0"/>
    <m/>
    <x v="1"/>
  </r>
  <r>
    <s v="RCV000151"/>
    <s v="PO000143"/>
    <d v="2024-07-27T00:00:00"/>
    <s v="M19"/>
    <x v="2"/>
    <s v="Probe cards"/>
    <s v="each"/>
    <s v="S17"/>
    <x v="2"/>
    <n v="2"/>
    <n v="0"/>
    <m/>
    <x v="1"/>
  </r>
  <r>
    <s v="RCV000152"/>
    <s v="PO000144"/>
    <d v="2024-07-23T00:00:00"/>
    <s v="M12"/>
    <x v="1"/>
    <s v="Sputtering targets"/>
    <s v="each"/>
    <s v="S11"/>
    <x v="1"/>
    <n v="17.28"/>
    <n v="0"/>
    <m/>
    <x v="1"/>
  </r>
  <r>
    <s v="RCV000157"/>
    <s v="PO000113"/>
    <d v="2024-07-29T00:00:00"/>
    <s v="M15"/>
    <x v="3"/>
    <s v="Litho spare parts"/>
    <s v="kit"/>
    <s v="S14"/>
    <x v="3"/>
    <n v="4"/>
    <n v="0"/>
    <m/>
    <x v="1"/>
  </r>
  <r>
    <s v="RCV000163"/>
    <s v="PO000164"/>
    <d v="2024-08-12T00:00:00"/>
    <s v="M14"/>
    <x v="0"/>
    <s v="Chamber parts"/>
    <s v="kit"/>
    <s v="S13"/>
    <x v="0"/>
    <n v="23.02"/>
    <n v="0"/>
    <m/>
    <x v="1"/>
  </r>
  <r>
    <s v="RCV000167"/>
    <s v="PO000157"/>
    <d v="2024-08-25T00:00:00"/>
    <s v="M19"/>
    <x v="2"/>
    <s v="Probe cards"/>
    <s v="each"/>
    <s v="S17"/>
    <x v="2"/>
    <n v="2"/>
    <n v="0"/>
    <m/>
    <x v="1"/>
  </r>
  <r>
    <s v="RCV000174"/>
    <s v="PO000166"/>
    <d v="2024-09-08T00:00:00"/>
    <s v="M12"/>
    <x v="1"/>
    <s v="Sputtering targets"/>
    <s v="each"/>
    <s v="S11"/>
    <x v="1"/>
    <n v="17.265000000000001"/>
    <n v="0"/>
    <m/>
    <x v="1"/>
  </r>
  <r>
    <s v="RCV000188"/>
    <s v="PO000185"/>
    <d v="2024-09-26T00:00:00"/>
    <s v="M14"/>
    <x v="0"/>
    <s v="Chamber parts"/>
    <s v="kit"/>
    <s v="S13"/>
    <x v="0"/>
    <n v="23"/>
    <n v="0"/>
    <m/>
    <x v="1"/>
  </r>
  <r>
    <s v="RCV000194"/>
    <s v="PO000187"/>
    <d v="2024-10-19T00:00:00"/>
    <s v="M12"/>
    <x v="1"/>
    <s v="Sputtering targets"/>
    <s v="each"/>
    <s v="S11"/>
    <x v="1"/>
    <n v="17.234999999999999"/>
    <n v="0"/>
    <m/>
    <x v="1"/>
  </r>
  <r>
    <s v="RCV000197"/>
    <s v="PO000160"/>
    <d v="2024-10-25T00:00:00"/>
    <s v="M15"/>
    <x v="3"/>
    <s v="Litho spare parts"/>
    <s v="kit"/>
    <s v="S14"/>
    <x v="3"/>
    <n v="4.0250000000000004"/>
    <n v="0"/>
    <m/>
    <x v="1"/>
  </r>
  <r>
    <s v="RCV000205"/>
    <s v="PO000205"/>
    <d v="2024-11-07T00:00:00"/>
    <s v="M14"/>
    <x v="0"/>
    <s v="Chamber parts"/>
    <s v="kit"/>
    <s v="S13"/>
    <x v="0"/>
    <n v="21.02"/>
    <n v="0"/>
    <m/>
    <x v="1"/>
  </r>
  <r>
    <s v="RCV000207"/>
    <s v="PO000211"/>
    <d v="2024-11-08T00:00:00"/>
    <s v="M15"/>
    <x v="3"/>
    <s v="Litho spare parts"/>
    <s v="kit"/>
    <s v="S14"/>
    <x v="3"/>
    <n v="4.55"/>
    <n v="0"/>
    <m/>
    <x v="1"/>
  </r>
  <r>
    <s v="RCV000216"/>
    <s v="PO000179"/>
    <d v="2024-11-28T00:00:00"/>
    <s v="M15"/>
    <x v="3"/>
    <s v="Litho spare parts"/>
    <s v="kit"/>
    <s v="S14"/>
    <x v="3"/>
    <n v="2.7909999999999999"/>
    <n v="0"/>
    <m/>
    <x v="1"/>
  </r>
  <r>
    <s v="RCV000218"/>
    <s v="PO000210"/>
    <d v="2024-12-02T00:00:00"/>
    <s v="M12"/>
    <x v="1"/>
    <s v="Sputtering targets"/>
    <s v="each"/>
    <s v="S11"/>
    <x v="1"/>
    <n v="15.78"/>
    <n v="0"/>
    <m/>
    <x v="1"/>
  </r>
  <r>
    <s v="RCV000219"/>
    <s v="PO000213"/>
    <d v="2024-12-05T00:00:00"/>
    <s v="M19"/>
    <x v="2"/>
    <s v="Probe cards"/>
    <s v="each"/>
    <s v="S17"/>
    <x v="2"/>
    <n v="1.625"/>
    <n v="0"/>
    <m/>
    <x v="1"/>
  </r>
  <r>
    <s v="RCV000223"/>
    <s v="PO000188"/>
    <d v="2024-12-15T00:00:00"/>
    <s v="M15"/>
    <x v="3"/>
    <s v="Litho spare parts"/>
    <s v="kit"/>
    <s v="S14"/>
    <x v="3"/>
    <n v="3"/>
    <n v="0"/>
    <m/>
    <x v="1"/>
  </r>
  <r>
    <s v="RCV000234"/>
    <s v="PO000231"/>
    <d v="2024-12-23T00:00:00"/>
    <s v="M14"/>
    <x v="0"/>
    <s v="Chamber parts"/>
    <s v="kit"/>
    <s v="S13"/>
    <x v="0"/>
    <n v="22.92"/>
    <n v="0"/>
    <m/>
    <x v="1"/>
  </r>
  <r>
    <s v="RCV000239"/>
    <s v="PO000226"/>
    <d v="2025-01-09T00:00:00"/>
    <s v="M19"/>
    <x v="2"/>
    <s v="Probe cards"/>
    <s v="each"/>
    <s v="S17"/>
    <x v="2"/>
    <n v="2"/>
    <n v="0"/>
    <m/>
    <x v="2"/>
  </r>
  <r>
    <s v="RCV000241"/>
    <s v="PO000233"/>
    <d v="2025-01-09T00:00:00"/>
    <s v="M12"/>
    <x v="1"/>
    <s v="Sputtering targets"/>
    <s v="each"/>
    <s v="S11"/>
    <x v="1"/>
    <n v="17.16"/>
    <n v="0"/>
    <m/>
    <x v="2"/>
  </r>
  <r>
    <s v="RCV000252"/>
    <s v="PO000254"/>
    <d v="2025-02-01T00:00:00"/>
    <s v="M14"/>
    <x v="0"/>
    <s v="Chamber parts"/>
    <s v="kit"/>
    <s v="S13"/>
    <x v="0"/>
    <n v="22.92"/>
    <n v="0"/>
    <m/>
    <x v="2"/>
  </r>
  <r>
    <s v="RCV000256"/>
    <s v="PO000251"/>
    <d v="2025-02-13T00:00:00"/>
    <s v="M19"/>
    <x v="2"/>
    <s v="Probe cards"/>
    <s v="each"/>
    <s v="S17"/>
    <x v="2"/>
    <n v="2"/>
    <n v="0"/>
    <m/>
    <x v="2"/>
  </r>
  <r>
    <s v="RCV000258"/>
    <s v="PO000255"/>
    <d v="2025-02-20T00:00:00"/>
    <s v="M12"/>
    <x v="1"/>
    <s v="Sputtering targets"/>
    <s v="each"/>
    <s v="S11"/>
    <x v="1"/>
    <n v="15.03"/>
    <n v="0"/>
    <m/>
    <x v="2"/>
  </r>
  <r>
    <s v="RCV000263"/>
    <s v="PO000275"/>
    <d v="2025-02-22T00:00:00"/>
    <s v="M19"/>
    <x v="2"/>
    <s v="Probe cards"/>
    <s v="each"/>
    <s v="S17"/>
    <x v="2"/>
    <n v="1"/>
    <n v="0"/>
    <m/>
    <x v="2"/>
  </r>
  <r>
    <s v="RCV000275"/>
    <s v="PO000274"/>
    <d v="2025-03-18T00:00:00"/>
    <s v="M14"/>
    <x v="0"/>
    <s v="Chamber parts"/>
    <s v="kit"/>
    <s v="S13"/>
    <x v="0"/>
    <n v="15.94"/>
    <n v="0"/>
    <m/>
    <x v="2"/>
  </r>
  <r>
    <s v="RCV000281"/>
    <s v="PO000237"/>
    <d v="2025-03-25T00:00:00"/>
    <s v="M15"/>
    <x v="3"/>
    <s v="Litho spare parts"/>
    <s v="kit"/>
    <s v="S14"/>
    <x v="3"/>
    <n v="3"/>
    <n v="0"/>
    <m/>
    <x v="2"/>
  </r>
  <r>
    <s v="RCV000283"/>
    <s v="PO000271"/>
    <d v="2025-03-30T00:00:00"/>
    <s v="M19"/>
    <x v="2"/>
    <s v="Probe cards"/>
    <s v="each"/>
    <s v="S17"/>
    <x v="2"/>
    <n v="1"/>
    <n v="0"/>
    <m/>
    <x v="2"/>
  </r>
  <r>
    <s v="RCV000286"/>
    <s v="PO000243"/>
    <d v="2025-04-03T00:00:00"/>
    <s v="M15"/>
    <x v="3"/>
    <s v="Litho spare parts"/>
    <s v="kit"/>
    <s v="S14"/>
    <x v="3"/>
    <n v="4.2089999999999996"/>
    <n v="0"/>
    <m/>
    <x v="2"/>
  </r>
  <r>
    <s v="RCV000290"/>
    <s v="PO000279"/>
    <d v="2025-04-07T00:00:00"/>
    <s v="M12"/>
    <x v="1"/>
    <s v="Sputtering targets"/>
    <s v="each"/>
    <s v="S11"/>
    <x v="1"/>
    <n v="12.914999999999999"/>
    <n v="0"/>
    <m/>
    <x v="2"/>
  </r>
  <r>
    <s v="RCV000297"/>
    <s v="PO000293"/>
    <d v="2025-04-15T00:00:00"/>
    <s v="M14"/>
    <x v="0"/>
    <s v="Chamber parts"/>
    <s v="kit"/>
    <s v="S13"/>
    <x v="0"/>
    <n v="14.727"/>
    <n v="0"/>
    <m/>
    <x v="2"/>
  </r>
  <r>
    <s v="RCV000302"/>
    <s v="PO000314"/>
    <d v="2025-04-14T00:00:00"/>
    <s v="M19"/>
    <x v="2"/>
    <s v="Probe cards"/>
    <s v="each"/>
    <s v="S17"/>
    <x v="2"/>
    <n v="1.946"/>
    <n v="0"/>
    <m/>
    <x v="2"/>
  </r>
  <r>
    <s v="RCV000307"/>
    <s v="PO000256"/>
    <d v="2025-05-02T00:00:00"/>
    <s v="M15"/>
    <x v="3"/>
    <s v="Litho spare parts"/>
    <s v="kit"/>
    <s v="S14"/>
    <x v="3"/>
    <n v="3.903"/>
    <n v="0"/>
    <m/>
    <x v="2"/>
  </r>
  <r>
    <s v="RCV000311"/>
    <s v="PO000295"/>
    <d v="2025-05-08T00:00:00"/>
    <s v="M19"/>
    <x v="2"/>
    <s v="Probe cards"/>
    <s v="each"/>
    <s v="S17"/>
    <x v="2"/>
    <n v="1.623"/>
    <n v="0"/>
    <m/>
    <x v="2"/>
  </r>
  <r>
    <s v="RCV000316"/>
    <s v="PO000261"/>
    <d v="2025-05-13T00:00:00"/>
    <s v="M15"/>
    <x v="3"/>
    <s v="Litho spare parts"/>
    <s v="kit"/>
    <s v="S14"/>
    <x v="3"/>
    <n v="3"/>
    <n v="0"/>
    <m/>
    <x v="2"/>
  </r>
  <r>
    <s v="RCV000318"/>
    <s v="PO000304"/>
    <d v="2025-05-12T00:00:00"/>
    <s v="M12"/>
    <x v="1"/>
    <s v="Sputtering targets"/>
    <s v="each"/>
    <s v="S11"/>
    <x v="1"/>
    <n v="14.4"/>
    <n v="0"/>
    <m/>
    <x v="2"/>
  </r>
  <r>
    <s v="RCV000320"/>
    <s v="PO000318"/>
    <d v="2025-05-18T00:00:00"/>
    <s v="M14"/>
    <x v="0"/>
    <s v="Chamber parts"/>
    <s v="kit"/>
    <s v="S13"/>
    <x v="0"/>
    <n v="19.149999999999999"/>
    <n v="0"/>
    <m/>
    <x v="2"/>
  </r>
  <r>
    <s v="RCV000323"/>
    <s v="PO000306"/>
    <d v="2025-05-25T00:00:00"/>
    <s v="M19"/>
    <x v="2"/>
    <s v="Probe cards"/>
    <s v="each"/>
    <s v="S17"/>
    <x v="2"/>
    <n v="1"/>
    <n v="0"/>
    <m/>
    <x v="2"/>
  </r>
  <r>
    <s v="RCV000337"/>
    <s v="PO000294"/>
    <d v="2025-06-21T00:00:00"/>
    <s v="M15"/>
    <x v="3"/>
    <s v="Litho spare parts"/>
    <s v="kit"/>
    <s v="S14"/>
    <x v="3"/>
    <n v="2.3660000000000001"/>
    <n v="0"/>
    <m/>
    <x v="2"/>
  </r>
  <r>
    <s v="RCV000338"/>
    <s v="PO000325"/>
    <d v="2025-06-19T00:00:00"/>
    <s v="M12"/>
    <x v="1"/>
    <s v="Sputtering targets"/>
    <s v="each"/>
    <s v="S11"/>
    <x v="1"/>
    <n v="14.385"/>
    <n v="0"/>
    <m/>
    <x v="2"/>
  </r>
  <r>
    <s v="RCV000344"/>
    <s v="PO000338"/>
    <d v="2025-07-01T00:00:00"/>
    <s v="M14"/>
    <x v="0"/>
    <s v="Chamber parts"/>
    <s v="kit"/>
    <s v="S13"/>
    <x v="0"/>
    <n v="18.222999999999999"/>
    <n v="0"/>
    <m/>
    <x v="2"/>
  </r>
  <r>
    <s v="RCV000353"/>
    <s v="PO000345"/>
    <d v="2025-07-20T00:00:00"/>
    <s v="M12"/>
    <x v="1"/>
    <s v="Sputtering targets"/>
    <s v="each"/>
    <s v="S11"/>
    <x v="1"/>
    <n v="14.385"/>
    <n v="0"/>
    <m/>
    <x v="2"/>
  </r>
  <r>
    <s v="RCV000359"/>
    <s v="PO000358"/>
    <d v="2025-07-27T00:00:00"/>
    <s v="M14"/>
    <x v="0"/>
    <s v="Chamber parts"/>
    <s v="kit"/>
    <s v="S13"/>
    <x v="0"/>
    <n v="19.12"/>
    <n v="0"/>
    <m/>
    <x v="2"/>
  </r>
  <r>
    <s v="RCV000367"/>
    <s v="PO000354"/>
    <d v="2025-08-11T00:00:00"/>
    <s v="M19"/>
    <x v="2"/>
    <s v="Probe cards"/>
    <s v="each"/>
    <s v="S17"/>
    <x v="2"/>
    <n v="1.1930000000000001"/>
    <n v="0"/>
    <m/>
    <x v="2"/>
  </r>
  <r>
    <s v="RCV000375"/>
    <s v="PO000364"/>
    <d v="2025-08-29T00:00:00"/>
    <s v="M12"/>
    <x v="1"/>
    <s v="Sputtering targets"/>
    <s v="each"/>
    <s v="S11"/>
    <x v="1"/>
    <n v="14.31"/>
    <n v="0"/>
    <m/>
    <x v="2"/>
  </r>
  <r>
    <s v="RCV000382"/>
    <s v="PO000378"/>
    <d v="2025-09-03T00:00:00"/>
    <s v="M14"/>
    <x v="0"/>
    <s v="Chamber parts"/>
    <s v="kit"/>
    <s v="S13"/>
    <x v="0"/>
    <n v="19"/>
    <n v="0"/>
    <m/>
    <x v="2"/>
  </r>
  <r>
    <s v="RCV000393"/>
    <s v="PO000385"/>
    <d v="2025-10-03T00:00:00"/>
    <s v="M12"/>
    <x v="1"/>
    <s v="Sputtering targets"/>
    <s v="each"/>
    <s v="S11"/>
    <x v="1"/>
    <n v="14.28"/>
    <n v="0"/>
    <m/>
    <x v="2"/>
  </r>
  <r>
    <s v="RCV000401"/>
    <s v="PO000394"/>
    <d v="2025-10-14T00:00:00"/>
    <s v="M19"/>
    <x v="2"/>
    <s v="Probe cards"/>
    <s v="each"/>
    <s v="S17"/>
    <x v="2"/>
    <n v="1"/>
    <n v="0"/>
    <m/>
    <x v="2"/>
  </r>
  <r>
    <s v="RCV000407"/>
    <s v="PO000401"/>
    <d v="2025-10-22T00:00:00"/>
    <s v="M14"/>
    <x v="0"/>
    <s v="Chamber parts"/>
    <s v="kit"/>
    <s v="S13"/>
    <x v="0"/>
    <n v="19.100000000000001"/>
    <n v="0"/>
    <m/>
    <x v="2"/>
  </r>
  <r>
    <s v="RCV000409"/>
    <s v="PO000365"/>
    <d v="2025-10-30T00:00:00"/>
    <s v="M15"/>
    <x v="3"/>
    <s v="Litho spare parts"/>
    <s v="kit"/>
    <s v="S14"/>
    <x v="3"/>
    <n v="3.9820000000000002"/>
    <n v="0"/>
    <m/>
    <x v="2"/>
  </r>
  <r>
    <s v="RCV000415"/>
    <s v="PO000334"/>
    <d v="2025-11-16T00:00:00"/>
    <s v="M15"/>
    <x v="3"/>
    <s v="Litho spare parts"/>
    <s v="kit"/>
    <s v="S14"/>
    <x v="3"/>
    <n v="3.0190000000000001"/>
    <n v="0"/>
    <m/>
    <x v="2"/>
  </r>
  <r>
    <s v="RCV000421"/>
    <s v="PO000413"/>
    <d v="2025-11-18T00:00:00"/>
    <s v="M12"/>
    <x v="1"/>
    <s v="Sputtering targets"/>
    <s v="each"/>
    <s v="S11"/>
    <x v="1"/>
    <n v="14.265000000000001"/>
    <n v="0"/>
    <m/>
    <x v="2"/>
  </r>
  <r>
    <s v="RCV000424"/>
    <s v="PO000382"/>
    <d v="2025-11-25T00:00:00"/>
    <s v="M15"/>
    <x v="3"/>
    <s v="Litho spare parts"/>
    <s v="kit"/>
    <s v="S14"/>
    <x v="3"/>
    <n v="3"/>
    <n v="0"/>
    <m/>
    <x v="2"/>
  </r>
  <r>
    <s v="RCV000427"/>
    <s v="PO000422"/>
    <d v="2025-11-29T00:00:00"/>
    <s v="M14"/>
    <x v="0"/>
    <s v="Chamber parts"/>
    <s v="kit"/>
    <s v="S13"/>
    <x v="0"/>
    <n v="15.36"/>
    <n v="0"/>
    <m/>
    <x v="2"/>
  </r>
  <r>
    <s v="RCV000428"/>
    <s v="PO000430"/>
    <d v="2025-11-25T00:00:00"/>
    <s v="M15"/>
    <x v="3"/>
    <s v="Litho spare parts"/>
    <s v="kit"/>
    <s v="S14"/>
    <x v="3"/>
    <n v="2.4780000000000002"/>
    <n v="0"/>
    <m/>
    <x v="2"/>
  </r>
  <r>
    <s v="RCV000445"/>
    <s v="PO000431"/>
    <d v="2025-12-23T00:00:00"/>
    <s v="M19"/>
    <x v="2"/>
    <s v="Probe cards"/>
    <s v="each"/>
    <s v="S17"/>
    <x v="2"/>
    <n v="2.8290000000000002"/>
    <n v="0"/>
    <m/>
    <x v="2"/>
  </r>
  <r>
    <s v="RCV000446"/>
    <s v="PO000434"/>
    <d v="2025-12-26T00:00:00"/>
    <s v="M12"/>
    <x v="1"/>
    <s v="Sputtering targets"/>
    <s v="each"/>
    <s v="S11"/>
    <x v="1"/>
    <n v="11.595000000000001"/>
    <n v="0"/>
    <m/>
    <x v="2"/>
  </r>
  <r>
    <s v="RCV000001"/>
    <s v="PO000021"/>
    <d v="2023-09-26T00:00:00"/>
    <s v="M21"/>
    <x v="4"/>
    <s v="Trays &amp; reels"/>
    <s v="each"/>
    <s v="S19"/>
    <x v="4"/>
    <n v="25873634.905000001"/>
    <n v="1900.154"/>
    <s v="Damaged packaging"/>
    <x v="0"/>
  </r>
  <r>
    <s v="RCV000002"/>
    <s v="PO000003"/>
    <d v="2023-10-02T00:00:00"/>
    <s v="M03"/>
    <x v="5"/>
    <s v="Wet chemicals"/>
    <s v="liter"/>
    <s v="S06"/>
    <x v="5"/>
    <n v="56160"/>
    <n v="3.9540000000000002"/>
    <s v="Purity out of spec"/>
    <x v="0"/>
  </r>
  <r>
    <s v="RCV000003"/>
    <s v="PO000008"/>
    <d v="2023-10-03T00:00:00"/>
    <s v="M08"/>
    <x v="6"/>
    <s v="Wet chemicals"/>
    <s v="liter"/>
    <s v="S09"/>
    <x v="6"/>
    <n v="187200"/>
    <n v="31.007999999999999"/>
    <s v="Particle contamination"/>
    <x v="0"/>
  </r>
  <r>
    <s v="RCV000004"/>
    <s v="PO000009"/>
    <d v="2023-10-03T00:00:00"/>
    <s v="M09"/>
    <x v="7"/>
    <s v="Wet chemicals"/>
    <s v="liter"/>
    <s v="S09"/>
    <x v="6"/>
    <n v="78000"/>
    <n v="116.842"/>
    <s v="Damaged packaging"/>
    <x v="0"/>
  </r>
  <r>
    <s v="RCV000005"/>
    <s v="PO000007"/>
    <d v="2023-10-10T00:00:00"/>
    <s v="M07"/>
    <x v="8"/>
    <s v="Specialty gases"/>
    <s v="kg"/>
    <s v="S08"/>
    <x v="7"/>
    <n v="3744"/>
    <n v="5.1999999999999998E-2"/>
    <s v="Purity out of spec"/>
    <x v="0"/>
  </r>
  <r>
    <s v="RCV000006"/>
    <s v="PO000010"/>
    <d v="2023-10-19T00:00:00"/>
    <s v="M10"/>
    <x v="9"/>
    <s v="CMP consumables"/>
    <s v="liter"/>
    <s v="S10"/>
    <x v="8"/>
    <n v="18720"/>
    <n v="5.7329999999999997"/>
    <s v="Dimensional"/>
    <x v="0"/>
  </r>
  <r>
    <s v="RCV000007"/>
    <s v="PO000011"/>
    <d v="2023-10-18T00:00:00"/>
    <s v="M11"/>
    <x v="10"/>
    <s v="CMP consumables"/>
    <s v="each"/>
    <s v="S10"/>
    <x v="8"/>
    <n v="374.4"/>
    <n v="0.41299999999999998"/>
    <s v="Dimensional"/>
    <x v="0"/>
  </r>
  <r>
    <s v="RCV000008"/>
    <s v="PO000017"/>
    <d v="2023-10-20T00:00:00"/>
    <s v="M17"/>
    <x v="11"/>
    <s v="Bonding &amp; mold"/>
    <s v="meter"/>
    <s v="S16"/>
    <x v="9"/>
    <n v="17801921.204999998"/>
    <n v="36844.67"/>
    <s v="Particle contamination"/>
    <x v="0"/>
  </r>
  <r>
    <s v="RCV000009"/>
    <s v="PO000018"/>
    <d v="2023-10-19T00:00:00"/>
    <s v="M18"/>
    <x v="12"/>
    <s v="Bonding &amp; mold"/>
    <s v="gram"/>
    <s v="S16"/>
    <x v="9"/>
    <n v="10384454.036"/>
    <n v="31277.7"/>
    <s v="Damaged packaging"/>
    <x v="0"/>
  </r>
  <r>
    <s v="RCV000010"/>
    <s v="PO000001"/>
    <d v="2023-10-25T00:00:00"/>
    <s v="M01"/>
    <x v="13"/>
    <s v="Silicon wafers"/>
    <s v="wafer"/>
    <s v="S01"/>
    <x v="10"/>
    <n v="31200"/>
    <n v="5.492"/>
    <s v="Particle contamination"/>
    <x v="0"/>
  </r>
  <r>
    <s v="RCV000011"/>
    <s v="PO000005"/>
    <d v="2023-10-23T00:00:00"/>
    <s v="M05"/>
    <x v="14"/>
    <s v="Specialty gases"/>
    <s v="kg"/>
    <s v="S07"/>
    <x v="11"/>
    <n v="28080"/>
    <n v="72.462000000000003"/>
    <s v="Particle contamination"/>
    <x v="0"/>
  </r>
  <r>
    <s v="RCV000012"/>
    <s v="PO000006"/>
    <d v="2023-10-28T00:00:00"/>
    <s v="M06"/>
    <x v="15"/>
    <s v="Specialty gases"/>
    <s v="kg"/>
    <s v="S07"/>
    <x v="11"/>
    <n v="2496"/>
    <n v="1.63"/>
    <s v="Damaged packaging"/>
    <x v="0"/>
  </r>
  <r>
    <s v="RCV000014"/>
    <s v="PO000024"/>
    <d v="2023-11-01T00:00:00"/>
    <s v="M21"/>
    <x v="4"/>
    <s v="Trays &amp; reels"/>
    <s v="each"/>
    <s v="S19"/>
    <x v="4"/>
    <n v="26067154.412"/>
    <n v="1578.114"/>
    <s v="Damaged packaging"/>
    <x v="0"/>
  </r>
  <r>
    <s v="RCV000015"/>
    <s v="PO000020"/>
    <d v="2023-11-06T00:00:00"/>
    <s v="M20"/>
    <x v="16"/>
    <s v="Underfill"/>
    <s v="kit"/>
    <s v="S18"/>
    <x v="12"/>
    <n v="83557.951000000001"/>
    <n v="30.768000000000001"/>
    <s v="Particle contamination"/>
    <x v="0"/>
  </r>
  <r>
    <s v="RCV000016"/>
    <s v="PO000004"/>
    <d v="2023-11-18T00:00:00"/>
    <s v="M04"/>
    <x v="17"/>
    <s v="Specialty gases"/>
    <s v="cylinder"/>
    <s v="S05"/>
    <x v="13"/>
    <n v="187.2"/>
    <n v="2.657"/>
    <s v="Purity out of spec"/>
    <x v="0"/>
  </r>
  <r>
    <s v="RCV000018"/>
    <s v="PO000027"/>
    <d v="2023-11-19T00:00:00"/>
    <s v="M03"/>
    <x v="5"/>
    <s v="Wet chemicals"/>
    <s v="liter"/>
    <s v="S06"/>
    <x v="5"/>
    <n v="51708.953999999998"/>
    <n v="8.173"/>
    <s v="Certificate (COA) mismatch"/>
    <x v="0"/>
  </r>
  <r>
    <s v="RCV000019"/>
    <s v="PO000032"/>
    <d v="2023-11-16T00:00:00"/>
    <s v="M08"/>
    <x v="6"/>
    <s v="Wet chemicals"/>
    <s v="liter"/>
    <s v="S09"/>
    <x v="6"/>
    <n v="172381.008"/>
    <n v="6.359"/>
    <s v="Purity out of spec"/>
    <x v="0"/>
  </r>
  <r>
    <s v="RCV000020"/>
    <s v="PO000002"/>
    <d v="2023-11-23T00:00:00"/>
    <s v="M02"/>
    <x v="18"/>
    <s v="Photoresist"/>
    <s v="liter"/>
    <s v="S03"/>
    <x v="14"/>
    <n v="1092"/>
    <n v="1.1299999999999999"/>
    <s v="Certificate (COA) mismatch"/>
    <x v="0"/>
  </r>
  <r>
    <s v="RCV000021"/>
    <s v="PO000013"/>
    <d v="2023-11-26T00:00:00"/>
    <s v="M13"/>
    <x v="19"/>
    <s v="ALD precursors"/>
    <s v="kg"/>
    <s v="S12"/>
    <x v="15"/>
    <n v="124.8"/>
    <n v="0.39100000000000001"/>
    <s v="Certificate (COA) mismatch"/>
    <x v="0"/>
  </r>
  <r>
    <s v="RCV000022"/>
    <s v="PO000016"/>
    <d v="2023-11-22T00:00:00"/>
    <s v="M16"/>
    <x v="20"/>
    <s v="Package substrates"/>
    <s v="each"/>
    <s v="S15"/>
    <x v="16"/>
    <n v="29669868.673999999"/>
    <n v="100436.061"/>
    <s v="Particle contamination"/>
    <x v="0"/>
  </r>
  <r>
    <s v="RCV000024"/>
    <s v="PO000031"/>
    <d v="2023-11-20T00:00:00"/>
    <s v="M07"/>
    <x v="8"/>
    <s v="Specialty gases"/>
    <s v="kg"/>
    <s v="S08"/>
    <x v="7"/>
    <n v="3447.0520000000001"/>
    <n v="1.161"/>
    <s v="Dimensional"/>
    <x v="0"/>
  </r>
  <r>
    <s v="RCV000025"/>
    <s v="PO000033"/>
    <d v="2023-11-20T00:00:00"/>
    <s v="M09"/>
    <x v="7"/>
    <s v="Wet chemicals"/>
    <s v="liter"/>
    <s v="S09"/>
    <x v="6"/>
    <n v="71929.342000000004"/>
    <n v="125.892"/>
    <s v="Particle contamination"/>
    <x v="0"/>
  </r>
  <r>
    <s v="RCV000026"/>
    <s v="PO000034"/>
    <d v="2023-12-01T00:00:00"/>
    <s v="M10"/>
    <x v="9"/>
    <s v="CMP consumables"/>
    <s v="liter"/>
    <s v="S10"/>
    <x v="8"/>
    <n v="17240.733"/>
    <n v="14.997"/>
    <s v="Certificate (COA) mismatch"/>
    <x v="0"/>
  </r>
  <r>
    <s v="RCV000027"/>
    <s v="PO000035"/>
    <d v="2023-11-29T00:00:00"/>
    <s v="M11"/>
    <x v="10"/>
    <s v="CMP consumables"/>
    <s v="each"/>
    <s v="S10"/>
    <x v="8"/>
    <n v="345.113"/>
    <n v="0.20799999999999999"/>
    <s v="Dimensional"/>
    <x v="0"/>
  </r>
  <r>
    <s v="RCV000028"/>
    <s v="PO000042"/>
    <d v="2023-12-02T00:00:00"/>
    <s v="M18"/>
    <x v="12"/>
    <s v="Bonding &amp; mold"/>
    <s v="gram"/>
    <s v="S16"/>
    <x v="9"/>
    <n v="9258227.3330000006"/>
    <n v="12859.69"/>
    <s v="Purity out of spec"/>
    <x v="0"/>
  </r>
  <r>
    <s v="RCV000029"/>
    <s v="PO000025"/>
    <d v="2023-12-05T00:00:00"/>
    <s v="M01"/>
    <x v="13"/>
    <s v="Silicon wafers"/>
    <s v="wafer"/>
    <s v="S02"/>
    <x v="17"/>
    <n v="28730.491999999998"/>
    <n v="27.702999999999999"/>
    <s v="Damaged packaging"/>
    <x v="0"/>
  </r>
  <r>
    <s v="RCV000030"/>
    <s v="PO000029"/>
    <d v="2023-12-08T00:00:00"/>
    <s v="M05"/>
    <x v="14"/>
    <s v="Specialty gases"/>
    <s v="kg"/>
    <s v="S07"/>
    <x v="11"/>
    <n v="25924.962"/>
    <n v="35.180999999999997"/>
    <s v="Damaged packaging"/>
    <x v="0"/>
  </r>
  <r>
    <s v="RCV000031"/>
    <s v="PO000030"/>
    <d v="2023-12-07T00:00:00"/>
    <s v="M06"/>
    <x v="15"/>
    <s v="Specialty gases"/>
    <s v="kg"/>
    <s v="S07"/>
    <x v="11"/>
    <n v="2299.63"/>
    <n v="4.2539999999999996"/>
    <s v="Particle contamination"/>
    <x v="0"/>
  </r>
  <r>
    <s v="RCV000032"/>
    <s v="PO000041"/>
    <d v="2023-12-05T00:00:00"/>
    <s v="M17"/>
    <x v="11"/>
    <s v="Bonding &amp; mold"/>
    <s v="meter"/>
    <s v="S16"/>
    <x v="9"/>
    <n v="15854472.612"/>
    <n v="6386.0550000000003"/>
    <s v="Damaged packaging"/>
    <x v="0"/>
  </r>
  <r>
    <s v="RCV000033"/>
    <s v="PO000023"/>
    <d v="2023-12-12T00:00:00"/>
    <s v="M20"/>
    <x v="16"/>
    <s v="Underfill"/>
    <s v="kit"/>
    <s v="S18"/>
    <x v="12"/>
    <n v="66180.67"/>
    <n v="5.3630000000000004"/>
    <s v="Certificate (COA) mismatch"/>
    <x v="0"/>
  </r>
  <r>
    <s v="RCV000034"/>
    <s v="PO000052"/>
    <d v="2023-12-13T00:00:00"/>
    <s v="M21"/>
    <x v="4"/>
    <s v="Trays &amp; reels"/>
    <s v="each"/>
    <s v="S19"/>
    <x v="4"/>
    <n v="27207999.684"/>
    <n v="16024.375"/>
    <s v="Purity out of spec"/>
    <x v="0"/>
  </r>
  <r>
    <s v="RCV000035"/>
    <s v="PO000028"/>
    <d v="2023-12-20T00:00:00"/>
    <s v="M04"/>
    <x v="17"/>
    <s v="Specialty gases"/>
    <s v="cylinder"/>
    <s v="S05"/>
    <x v="13"/>
    <n v="172.35"/>
    <n v="0.42299999999999999"/>
    <s v="Dimensional"/>
    <x v="0"/>
  </r>
  <r>
    <s v="RCV000037"/>
    <s v="PO000058"/>
    <d v="2023-12-25T00:00:00"/>
    <s v="M08"/>
    <x v="6"/>
    <s v="Wet chemicals"/>
    <s v="liter"/>
    <s v="S06"/>
    <x v="5"/>
    <n v="172506.359"/>
    <n v="75.167000000000002"/>
    <s v="Dimensional"/>
    <x v="0"/>
  </r>
  <r>
    <s v="RCV000038"/>
    <s v="PO000026"/>
    <d v="2024-01-02T00:00:00"/>
    <s v="M02"/>
    <x v="18"/>
    <s v="Photoresist"/>
    <s v="liter"/>
    <s v="S03"/>
    <x v="14"/>
    <n v="1005.375"/>
    <n v="1.0109999999999999"/>
    <s v="Particle contamination"/>
    <x v="1"/>
  </r>
  <r>
    <s v="RCV000039"/>
    <s v="PO000037"/>
    <d v="2024-01-02T00:00:00"/>
    <s v="M13"/>
    <x v="19"/>
    <s v="ALD precursors"/>
    <s v="kg"/>
    <s v="S12"/>
    <x v="15"/>
    <n v="114.9"/>
    <n v="4.2000000000000003E-2"/>
    <s v="Certificate (COA) mismatch"/>
    <x v="1"/>
  </r>
  <r>
    <s v="RCV000040"/>
    <s v="PO000050"/>
    <d v="2024-01-06T00:00:00"/>
    <s v="M17"/>
    <x v="11"/>
    <s v="Bonding &amp; mold"/>
    <s v="meter"/>
    <s v="S16"/>
    <x v="9"/>
    <n v="13730058.976"/>
    <n v="1631.943"/>
    <s v="Particle contamination"/>
    <x v="1"/>
  </r>
  <r>
    <s v="RCV000041"/>
    <s v="PO000051"/>
    <d v="2024-01-06T00:00:00"/>
    <s v="M18"/>
    <x v="12"/>
    <s v="Bonding &amp; mold"/>
    <s v="gram"/>
    <s v="S16"/>
    <x v="9"/>
    <n v="8022060.7589999996"/>
    <n v="7914.11"/>
    <s v="Particle contamination"/>
    <x v="1"/>
  </r>
  <r>
    <s v="RCV000042"/>
    <s v="PO000054"/>
    <d v="2024-01-07T00:00:00"/>
    <s v="M03"/>
    <x v="5"/>
    <s v="Wet chemicals"/>
    <s v="liter"/>
    <s v="S06"/>
    <x v="5"/>
    <n v="39545.379000000001"/>
    <n v="2.0710000000000002"/>
    <s v="Damaged packaging"/>
    <x v="1"/>
  </r>
  <r>
    <s v="RCV000043"/>
    <s v="PO000057"/>
    <d v="2024-01-05T00:00:00"/>
    <s v="M07"/>
    <x v="8"/>
    <s v="Specialty gases"/>
    <s v="kg"/>
    <s v="S08"/>
    <x v="7"/>
    <n v="3451.1610000000001"/>
    <n v="0.21199999999999999"/>
    <s v="Certificate (COA) mismatch"/>
    <x v="1"/>
  </r>
  <r>
    <s v="RCV000045"/>
    <s v="PO000047"/>
    <d v="2024-01-10T00:00:00"/>
    <s v="M09"/>
    <x v="7"/>
    <s v="Wet chemicals"/>
    <s v="liter"/>
    <s v="S09"/>
    <x v="6"/>
    <n v="60063.392"/>
    <n v="39.823"/>
    <s v="Dimensional"/>
    <x v="1"/>
  </r>
  <r>
    <s v="RCV000046"/>
    <s v="PO000059"/>
    <d v="2024-01-11T00:00:00"/>
    <s v="M10"/>
    <x v="9"/>
    <s v="CMP consumables"/>
    <s v="liter"/>
    <s v="S10"/>
    <x v="8"/>
    <n v="17264.996999999999"/>
    <n v="10.613"/>
    <s v="Certificate (COA) mismatch"/>
    <x v="1"/>
  </r>
  <r>
    <s v="RCV000047"/>
    <s v="PO000060"/>
    <d v="2024-01-14T00:00:00"/>
    <s v="M11"/>
    <x v="10"/>
    <s v="CMP consumables"/>
    <s v="each"/>
    <s v="S10"/>
    <x v="8"/>
    <n v="345.20800000000003"/>
    <n v="0.376"/>
    <s v="Damaged packaging"/>
    <x v="1"/>
  </r>
  <r>
    <s v="RCV000049"/>
    <s v="PO000040"/>
    <d v="2024-01-15T00:00:00"/>
    <s v="M16"/>
    <x v="20"/>
    <s v="Package substrates"/>
    <s v="each"/>
    <s v="S15"/>
    <x v="16"/>
    <n v="26362713.237"/>
    <n v="171322.42499999999"/>
    <s v="Dimensional"/>
    <x v="1"/>
  </r>
  <r>
    <s v="RCV000050"/>
    <s v="PO000044"/>
    <d v="2024-01-21T00:00:00"/>
    <s v="M20"/>
    <x v="16"/>
    <s v="Underfill"/>
    <s v="kit"/>
    <s v="S18"/>
    <x v="12"/>
    <n v="68554.228000000003"/>
    <n v="8.5779999999999994"/>
    <s v="Dimensional"/>
    <x v="1"/>
  </r>
  <r>
    <s v="RCV000051"/>
    <s v="PO000053"/>
    <d v="2024-01-20T00:00:00"/>
    <s v="M01"/>
    <x v="13"/>
    <s v="Silicon wafers"/>
    <s v="wafer"/>
    <s v="S01"/>
    <x v="10"/>
    <n v="28777.703000000001"/>
    <n v="14.250999999999999"/>
    <s v="Certificate (COA) mismatch"/>
    <x v="1"/>
  </r>
  <r>
    <s v="RCV000052"/>
    <s v="PO000055"/>
    <d v="2024-01-18T00:00:00"/>
    <s v="M05"/>
    <x v="14"/>
    <s v="Specialty gases"/>
    <s v="kg"/>
    <s v="S07"/>
    <x v="11"/>
    <n v="25910.181"/>
    <n v="8.9489999999999998"/>
    <s v="Particle contamination"/>
    <x v="1"/>
  </r>
  <r>
    <s v="RCV000053"/>
    <s v="PO000056"/>
    <d v="2024-01-18T00:00:00"/>
    <s v="M06"/>
    <x v="15"/>
    <s v="Specialty gases"/>
    <s v="kg"/>
    <s v="S07"/>
    <x v="11"/>
    <n v="2304.2539999999999"/>
    <n v="5.2789999999999999"/>
    <s v="Particle contamination"/>
    <x v="1"/>
  </r>
  <r>
    <s v="RCV000054"/>
    <s v="PO000070"/>
    <d v="2024-01-18T00:00:00"/>
    <s v="M21"/>
    <x v="4"/>
    <s v="Trays &amp; reels"/>
    <s v="each"/>
    <s v="S19"/>
    <x v="4"/>
    <n v="22890591.607999999"/>
    <n v="2219.3829999999998"/>
    <s v="Certificate (COA) mismatch"/>
    <x v="1"/>
  </r>
  <r>
    <s v="RCV000056"/>
    <s v="PO000063"/>
    <d v="2024-01-23T00:00:00"/>
    <s v="M03"/>
    <x v="5"/>
    <s v="Wet chemicals"/>
    <s v="liter"/>
    <s v="S06"/>
    <x v="5"/>
    <n v="46729.864999999998"/>
    <n v="8.0830000000000002"/>
    <s v="Dimensional"/>
    <x v="1"/>
  </r>
  <r>
    <s v="RCV000058"/>
    <s v="PO000048"/>
    <d v="2024-02-04T00:00:00"/>
    <s v="M13"/>
    <x v="19"/>
    <s v="ALD precursors"/>
    <s v="kg"/>
    <s v="S12"/>
    <x v="15"/>
    <n v="75.364999999999995"/>
    <n v="0.40600000000000003"/>
    <s v="Purity out of spec"/>
    <x v="1"/>
  </r>
  <r>
    <s v="RCV000059"/>
    <s v="PO000072"/>
    <d v="2024-01-30T00:00:00"/>
    <s v="M09"/>
    <x v="7"/>
    <s v="Wet chemicals"/>
    <s v="liter"/>
    <s v="S09"/>
    <x v="6"/>
    <n v="71914.823000000004"/>
    <n v="85.129000000000005"/>
    <s v="Particle contamination"/>
    <x v="1"/>
  </r>
  <r>
    <s v="RCV000060"/>
    <s v="PO000045"/>
    <d v="2024-02-09T00:00:00"/>
    <s v="M02"/>
    <x v="18"/>
    <s v="Photoresist"/>
    <s v="liter"/>
    <s v="S03"/>
    <x v="14"/>
    <n v="840.255"/>
    <n v="0.433"/>
    <s v="Dimensional"/>
    <x v="1"/>
  </r>
  <r>
    <s v="RCV000062"/>
    <s v="PO000066"/>
    <d v="2024-02-07T00:00:00"/>
    <s v="M17"/>
    <x v="11"/>
    <s v="Bonding &amp; mold"/>
    <s v="meter"/>
    <s v="S16"/>
    <x v="9"/>
    <n v="13693954.775"/>
    <n v="10139.674000000001"/>
    <s v="Damaged packaging"/>
    <x v="1"/>
  </r>
  <r>
    <s v="RCV000063"/>
    <s v="PO000079"/>
    <d v="2024-02-06T00:00:00"/>
    <s v="M08"/>
    <x v="6"/>
    <s v="Wet chemicals"/>
    <s v="liter"/>
    <s v="S09"/>
    <x v="6"/>
    <n v="172425.16699999999"/>
    <n v="162.08699999999999"/>
    <s v="Certificate (COA) mismatch"/>
    <x v="1"/>
  </r>
  <r>
    <s v="RCV000064"/>
    <s v="PO000067"/>
    <d v="2024-02-13T00:00:00"/>
    <s v="M18"/>
    <x v="12"/>
    <s v="Bonding &amp; mold"/>
    <s v="gram"/>
    <s v="S16"/>
    <x v="9"/>
    <n v="7991377.2300000004"/>
    <n v="20942.896000000001"/>
    <s v="Damaged packaging"/>
    <x v="1"/>
  </r>
  <r>
    <s v="RCV000065"/>
    <s v="PO000078"/>
    <d v="2024-02-13T00:00:00"/>
    <s v="M07"/>
    <x v="8"/>
    <s v="Specialty gases"/>
    <s v="kg"/>
    <s v="S08"/>
    <x v="7"/>
    <n v="3447.212"/>
    <n v="0.56599999999999995"/>
    <s v="Particle contamination"/>
    <x v="1"/>
  </r>
  <r>
    <s v="RCV000066"/>
    <s v="PO000073"/>
    <d v="2024-02-23T00:00:00"/>
    <s v="M11"/>
    <x v="10"/>
    <s v="CMP consumables"/>
    <s v="each"/>
    <s v="S10"/>
    <x v="8"/>
    <n v="288.07600000000002"/>
    <n v="0.755"/>
    <s v="Purity out of spec"/>
    <x v="1"/>
  </r>
  <r>
    <s v="RCV000068"/>
    <s v="PO000046"/>
    <d v="2024-02-26T00:00:00"/>
    <s v="M04"/>
    <x v="17"/>
    <s v="Specialty gases"/>
    <s v="cylinder"/>
    <s v="S05"/>
    <x v="13"/>
    <n v="146.50700000000001"/>
    <n v="0.41099999999999998"/>
    <s v="Certificate (COA) mismatch"/>
    <x v="1"/>
  </r>
  <r>
    <s v="RCV000069"/>
    <s v="PO000064"/>
    <d v="2024-03-03T00:00:00"/>
    <s v="M04"/>
    <x v="17"/>
    <s v="Specialty gases"/>
    <s v="cylinder"/>
    <s v="S05"/>
    <x v="13"/>
    <n v="144.12299999999999"/>
    <n v="0.17799999999999999"/>
    <s v="Dimensional"/>
    <x v="1"/>
  </r>
  <r>
    <s v="RCV000070"/>
    <s v="PO000069"/>
    <d v="2024-02-28T00:00:00"/>
    <s v="M20"/>
    <x v="16"/>
    <s v="Underfill"/>
    <s v="kit"/>
    <s v="S18"/>
    <x v="12"/>
    <n v="75713.081999999995"/>
    <n v="4.8369999999999997"/>
    <s v="Certificate (COA) mismatch"/>
    <x v="1"/>
  </r>
  <r>
    <s v="RCV000071"/>
    <s v="PO000075"/>
    <d v="2024-03-02T00:00:00"/>
    <s v="M01"/>
    <x v="13"/>
    <s v="Silicon wafers"/>
    <s v="wafer"/>
    <s v="S01"/>
    <x v="10"/>
    <n v="28739.251"/>
    <n v="6.4420000000000002"/>
    <s v="Damaged packaging"/>
    <x v="1"/>
  </r>
  <r>
    <s v="RCV000072"/>
    <s v="PO000076"/>
    <d v="2024-03-01T00:00:00"/>
    <s v="M05"/>
    <x v="14"/>
    <s v="Specialty gases"/>
    <s v="kg"/>
    <s v="S07"/>
    <x v="11"/>
    <n v="25861.449000000001"/>
    <n v="7.0910000000000002"/>
    <s v="Certificate (COA) mismatch"/>
    <x v="1"/>
  </r>
  <r>
    <s v="RCV000073"/>
    <s v="PO000080"/>
    <d v="2024-03-03T00:00:00"/>
    <s v="M10"/>
    <x v="9"/>
    <s v="CMP consumables"/>
    <s v="liter"/>
    <s v="S10"/>
    <x v="8"/>
    <n v="17245.613000000001"/>
    <n v="4.0910000000000002"/>
    <s v="Dimensional"/>
    <x v="1"/>
  </r>
  <r>
    <s v="RCV000074"/>
    <s v="PO000087"/>
    <d v="2024-03-02T00:00:00"/>
    <s v="M04"/>
    <x v="17"/>
    <s v="Specialty gases"/>
    <s v="cylinder"/>
    <s v="S05"/>
    <x v="13"/>
    <n v="172.35"/>
    <n v="0.28100000000000003"/>
    <s v="Purity out of spec"/>
    <x v="1"/>
  </r>
  <r>
    <s v="RCV000075"/>
    <s v="PO000091"/>
    <d v="2024-03-02T00:00:00"/>
    <s v="M21"/>
    <x v="4"/>
    <s v="Trays &amp; reels"/>
    <s v="each"/>
    <s v="S19"/>
    <x v="4"/>
    <n v="26096250.548"/>
    <n v="19072.757000000001"/>
    <s v="Certificate (COA) mismatch"/>
    <x v="1"/>
  </r>
  <r>
    <s v="RCV000076"/>
    <s v="PO000086"/>
    <d v="2024-03-04T00:00:00"/>
    <s v="M03"/>
    <x v="5"/>
    <s v="Wet chemicals"/>
    <s v="liter"/>
    <s v="S06"/>
    <x v="5"/>
    <n v="51713.082999999999"/>
    <n v="16.754000000000001"/>
    <s v="Purity out of spec"/>
    <x v="1"/>
  </r>
  <r>
    <s v="RCV000077"/>
    <s v="PO000049"/>
    <d v="2024-03-13T00:00:00"/>
    <s v="M16"/>
    <x v="20"/>
    <s v="Package substrates"/>
    <s v="each"/>
    <s v="S15"/>
    <x v="16"/>
    <n v="22983867.686999999"/>
    <n v="170811.42199999999"/>
    <s v="Particle contamination"/>
    <x v="1"/>
  </r>
  <r>
    <s v="RCV000078"/>
    <s v="PO000065"/>
    <d v="2024-03-17T00:00:00"/>
    <s v="M16"/>
    <x v="20"/>
    <s v="Package substrates"/>
    <s v="each"/>
    <s v="S15"/>
    <x v="16"/>
    <n v="22809894.629000001"/>
    <n v="3378.0729999999999"/>
    <s v="Particle contamination"/>
    <x v="1"/>
  </r>
  <r>
    <s v="RCV000081"/>
    <s v="PO000093"/>
    <d v="2024-03-16T00:00:00"/>
    <s v="M09"/>
    <x v="7"/>
    <s v="Wet chemicals"/>
    <s v="liter"/>
    <s v="S09"/>
    <x v="6"/>
    <n v="50032.862999999998"/>
    <n v="154.93700000000001"/>
    <s v="Damaged packaging"/>
    <x v="1"/>
  </r>
  <r>
    <s v="RCV000082"/>
    <s v="PO000099"/>
    <d v="2024-03-17T00:00:00"/>
    <s v="M08"/>
    <x v="6"/>
    <s v="Wet chemicals"/>
    <s v="liter"/>
    <s v="S06"/>
    <x v="5"/>
    <n v="155562.087"/>
    <n v="12.009"/>
    <s v="Particle contamination"/>
    <x v="1"/>
  </r>
  <r>
    <s v="RCV000083"/>
    <s v="PO000071"/>
    <d v="2024-03-21T00:00:00"/>
    <s v="M02"/>
    <x v="18"/>
    <s v="Photoresist"/>
    <s v="liter"/>
    <s v="S03"/>
    <x v="14"/>
    <n v="1007.261"/>
    <n v="4.3239999999999998"/>
    <s v="Purity out of spec"/>
    <x v="1"/>
  </r>
  <r>
    <s v="RCV000084"/>
    <s v="PO000074"/>
    <d v="2024-03-20T00:00:00"/>
    <s v="M13"/>
    <x v="19"/>
    <s v="ALD precursors"/>
    <s v="kg"/>
    <s v="S12"/>
    <x v="15"/>
    <n v="115.042"/>
    <n v="0.33100000000000002"/>
    <s v="Purity out of spec"/>
    <x v="1"/>
  </r>
  <r>
    <s v="RCV000086"/>
    <s v="PO000089"/>
    <d v="2024-03-19T00:00:00"/>
    <s v="M17"/>
    <x v="11"/>
    <s v="Bonding &amp; mold"/>
    <s v="meter"/>
    <s v="S16"/>
    <x v="9"/>
    <n v="15618409.392000001"/>
    <n v="31742.435000000001"/>
    <s v="Certificate (COA) mismatch"/>
    <x v="1"/>
  </r>
  <r>
    <s v="RCV000087"/>
    <s v="PO000090"/>
    <d v="2024-03-20T00:00:00"/>
    <s v="M18"/>
    <x v="12"/>
    <s v="Bonding &amp; mold"/>
    <s v="gram"/>
    <s v="S16"/>
    <x v="9"/>
    <n v="9125766.898"/>
    <n v="3320.2750000000001"/>
    <s v="Purity out of spec"/>
    <x v="1"/>
  </r>
  <r>
    <s v="RCV000088"/>
    <s v="PO000094"/>
    <d v="2024-03-24T00:00:00"/>
    <s v="M11"/>
    <x v="10"/>
    <s v="CMP consumables"/>
    <s v="each"/>
    <s v="S10"/>
    <x v="8"/>
    <n v="310.95499999999998"/>
    <n v="0.111"/>
    <s v="Certificate (COA) mismatch"/>
    <x v="1"/>
  </r>
  <r>
    <s v="RCV000090"/>
    <s v="PO000077"/>
    <d v="2024-03-25T00:00:00"/>
    <s v="M06"/>
    <x v="15"/>
    <s v="Specialty gases"/>
    <s v="kg"/>
    <s v="S07"/>
    <x v="11"/>
    <n v="2303.279"/>
    <n v="0.86599999999999999"/>
    <s v="Dimensional"/>
    <x v="1"/>
  </r>
  <r>
    <s v="RCV000091"/>
    <s v="PO000085"/>
    <d v="2024-03-31T00:00:00"/>
    <s v="M20"/>
    <x v="16"/>
    <s v="Underfill"/>
    <s v="kit"/>
    <s v="S18"/>
    <x v="12"/>
    <n v="65140.311999999998"/>
    <n v="12.702999999999999"/>
    <s v="Purity out of spec"/>
    <x v="1"/>
  </r>
  <r>
    <s v="RCV000092"/>
    <s v="PO000098"/>
    <d v="2024-03-28T00:00:00"/>
    <s v="M07"/>
    <x v="8"/>
    <s v="Specialty gases"/>
    <s v="kg"/>
    <s v="S08"/>
    <x v="7"/>
    <n v="3108.5659999999998"/>
    <n v="1.68"/>
    <s v="Particle contamination"/>
    <x v="1"/>
  </r>
  <r>
    <s v="RCV000093"/>
    <s v="PO000095"/>
    <d v="2024-04-07T00:00:00"/>
    <s v="M01"/>
    <x v="13"/>
    <s v="Silicon wafers"/>
    <s v="wafer"/>
    <s v="S02"/>
    <x v="17"/>
    <n v="25906.441999999999"/>
    <n v="14.42"/>
    <s v="Particle contamination"/>
    <x v="1"/>
  </r>
  <r>
    <s v="RCV000094"/>
    <s v="PO000100"/>
    <d v="2024-04-04T00:00:00"/>
    <s v="M10"/>
    <x v="9"/>
    <s v="CMP consumables"/>
    <s v="liter"/>
    <s v="S10"/>
    <x v="8"/>
    <n v="15544.091"/>
    <n v="41.786999999999999"/>
    <s v="Particle contamination"/>
    <x v="1"/>
  </r>
  <r>
    <s v="RCV000095"/>
    <s v="PO000109"/>
    <d v="2024-04-06T00:00:00"/>
    <s v="M21"/>
    <x v="4"/>
    <s v="Trays &amp; reels"/>
    <s v="each"/>
    <s v="S19"/>
    <x v="4"/>
    <n v="23025214.454999998"/>
    <n v="4085.5160000000001"/>
    <s v="Purity out of spec"/>
    <x v="1"/>
  </r>
  <r>
    <s v="RCV000096"/>
    <s v="PO000096"/>
    <d v="2024-04-10T00:00:00"/>
    <s v="M05"/>
    <x v="14"/>
    <s v="Specialty gases"/>
    <s v="kg"/>
    <s v="S08"/>
    <x v="7"/>
    <n v="23317.091"/>
    <n v="1.4219999999999999"/>
    <s v="Damaged packaging"/>
    <x v="1"/>
  </r>
  <r>
    <s v="RCV000097"/>
    <s v="PO000105"/>
    <d v="2024-04-12T00:00:00"/>
    <s v="M09"/>
    <x v="7"/>
    <s v="Wet chemicals"/>
    <s v="liter"/>
    <s v="S09"/>
    <x v="6"/>
    <n v="62707.203000000001"/>
    <n v="2.6"/>
    <s v="Dimensional"/>
    <x v="1"/>
  </r>
  <r>
    <s v="RCV000098"/>
    <s v="PO000084"/>
    <d v="2024-04-20T00:00:00"/>
    <s v="M13"/>
    <x v="19"/>
    <s v="ALD precursors"/>
    <s v="kg"/>
    <s v="S12"/>
    <x v="15"/>
    <n v="97.932000000000002"/>
    <n v="0.17199999999999999"/>
    <s v="Damaged packaging"/>
    <x v="1"/>
  </r>
  <r>
    <s v="RCV000099"/>
    <s v="PO000097"/>
    <d v="2024-04-18T00:00:00"/>
    <s v="M06"/>
    <x v="15"/>
    <s v="Specialty gases"/>
    <s v="kg"/>
    <s v="S07"/>
    <x v="11"/>
    <n v="2072"/>
    <n v="0.20200000000000001"/>
    <s v="Damaged packaging"/>
    <x v="1"/>
  </r>
  <r>
    <s v="RCV000101"/>
    <s v="PO000108"/>
    <d v="2024-04-22T00:00:00"/>
    <s v="M18"/>
    <x v="12"/>
    <s v="Bonding &amp; mold"/>
    <s v="gram"/>
    <s v="S16"/>
    <x v="9"/>
    <n v="8031134.9280000003"/>
    <n v="6881.1570000000002"/>
    <s v="Damaged packaging"/>
    <x v="1"/>
  </r>
  <r>
    <s v="RCV000102"/>
    <s v="PO000088"/>
    <d v="2024-04-29T00:00:00"/>
    <s v="M16"/>
    <x v="20"/>
    <s v="Package substrates"/>
    <s v="each"/>
    <s v="S15"/>
    <x v="16"/>
    <n v="26185105.287999999"/>
    <n v="88551.395999999993"/>
    <s v="Damaged packaging"/>
    <x v="1"/>
  </r>
  <r>
    <s v="RCV000103"/>
    <s v="PO000092"/>
    <d v="2024-05-05T00:00:00"/>
    <s v="M02"/>
    <x v="18"/>
    <s v="Photoresist"/>
    <s v="liter"/>
    <s v="S03"/>
    <x v="14"/>
    <n v="905.18299999999999"/>
    <n v="0.65600000000000003"/>
    <s v="Damaged packaging"/>
    <x v="1"/>
  </r>
  <r>
    <s v="RCV000105"/>
    <s v="PO000107"/>
    <d v="2024-04-30T00:00:00"/>
    <s v="M17"/>
    <x v="11"/>
    <s v="Bonding &amp; mold"/>
    <s v="meter"/>
    <s v="S16"/>
    <x v="9"/>
    <n v="13793710.411"/>
    <n v="9627.3829999999998"/>
    <s v="Certificate (COA) mismatch"/>
    <x v="1"/>
  </r>
  <r>
    <s v="RCV000106"/>
    <s v="PO000111"/>
    <d v="2024-04-29T00:00:00"/>
    <s v="M03"/>
    <x v="5"/>
    <s v="Wet chemicals"/>
    <s v="liter"/>
    <s v="S09"/>
    <x v="6"/>
    <n v="46591.754000000001"/>
    <n v="65.111000000000004"/>
    <s v="Particle contamination"/>
    <x v="1"/>
  </r>
  <r>
    <s v="RCV000107"/>
    <s v="PO000121"/>
    <d v="2024-05-01T00:00:00"/>
    <s v="M08"/>
    <x v="6"/>
    <s v="Wet chemicals"/>
    <s v="liter"/>
    <s v="S09"/>
    <x v="6"/>
    <n v="172512.00899999999"/>
    <n v="346.75200000000001"/>
    <s v="Damaged packaging"/>
    <x v="1"/>
  </r>
  <r>
    <s v="RCV000108"/>
    <s v="PO000115"/>
    <d v="2024-05-08T00:00:00"/>
    <s v="M10"/>
    <x v="9"/>
    <s v="CMP consumables"/>
    <s v="liter"/>
    <s v="S10"/>
    <x v="8"/>
    <n v="14411.787"/>
    <n v="2.86"/>
    <s v="Purity out of spec"/>
    <x v="1"/>
  </r>
  <r>
    <s v="RCV000109"/>
    <s v="PO000116"/>
    <d v="2024-05-06T00:00:00"/>
    <s v="M11"/>
    <x v="10"/>
    <s v="CMP consumables"/>
    <s v="each"/>
    <s v="S10"/>
    <x v="8"/>
    <n v="345.11099999999999"/>
    <n v="0.46899999999999997"/>
    <s v="Particle contamination"/>
    <x v="1"/>
  </r>
  <r>
    <s v="RCV000110"/>
    <s v="PO000120"/>
    <d v="2024-05-10T00:00:00"/>
    <s v="M07"/>
    <x v="8"/>
    <s v="Specialty gases"/>
    <s v="kg"/>
    <s v="S08"/>
    <x v="7"/>
    <n v="2877.1480000000001"/>
    <n v="0.24"/>
    <s v="Purity out of spec"/>
    <x v="1"/>
  </r>
  <r>
    <s v="RCV000111"/>
    <s v="PO000129"/>
    <d v="2024-05-10T00:00:00"/>
    <s v="M21"/>
    <x v="4"/>
    <s v="Trays &amp; reels"/>
    <s v="each"/>
    <s v="S19"/>
    <x v="4"/>
    <n v="23223426.802999999"/>
    <n v="6560.5129999999999"/>
    <s v="Purity out of spec"/>
    <x v="1"/>
  </r>
  <r>
    <s v="RCV000112"/>
    <s v="PO000125"/>
    <d v="2024-05-14T00:00:00"/>
    <s v="M09"/>
    <x v="7"/>
    <s v="Wet chemicals"/>
    <s v="liter"/>
    <s v="S09"/>
    <x v="6"/>
    <n v="60002.6"/>
    <n v="43.405999999999999"/>
    <s v="Damaged packaging"/>
    <x v="1"/>
  </r>
  <r>
    <s v="RCV000113"/>
    <s v="PO000104"/>
    <d v="2024-05-20T00:00:00"/>
    <s v="M20"/>
    <x v="16"/>
    <s v="Underfill"/>
    <s v="kit"/>
    <s v="S18"/>
    <x v="12"/>
    <n v="70446.267999999996"/>
    <n v="16.425999999999998"/>
    <s v="Damaged packaging"/>
    <x v="1"/>
  </r>
  <r>
    <s v="RCV000114"/>
    <s v="PO000106"/>
    <d v="2024-05-26T00:00:00"/>
    <s v="M13"/>
    <x v="19"/>
    <s v="ALD precursors"/>
    <s v="kg"/>
    <s v="S12"/>
    <x v="15"/>
    <n v="103.73099999999999"/>
    <n v="5.6000000000000001E-2"/>
    <s v="Particle contamination"/>
    <x v="1"/>
  </r>
  <r>
    <s v="RCV000115"/>
    <s v="PO000112"/>
    <d v="2024-05-21T00:00:00"/>
    <s v="M04"/>
    <x v="17"/>
    <s v="Specialty gases"/>
    <s v="cylinder"/>
    <s v="S05"/>
    <x v="13"/>
    <n v="156.12"/>
    <n v="0.57499999999999996"/>
    <s v="Certificate (COA) mismatch"/>
    <x v="1"/>
  </r>
  <r>
    <s v="RCV000116"/>
    <s v="PO000118"/>
    <d v="2024-05-22T00:00:00"/>
    <s v="M05"/>
    <x v="14"/>
    <s v="Specialty gases"/>
    <s v="kg"/>
    <s v="S07"/>
    <x v="11"/>
    <n v="25876.421999999999"/>
    <n v="33.783999999999999"/>
    <s v="Dimensional"/>
    <x v="1"/>
  </r>
  <r>
    <s v="RCV000117"/>
    <s v="PO000131"/>
    <d v="2024-05-20T00:00:00"/>
    <s v="M03"/>
    <x v="5"/>
    <s v="Wet chemicals"/>
    <s v="liter"/>
    <s v="S06"/>
    <x v="5"/>
    <n v="43265.110999999997"/>
    <n v="2.3279999999999998"/>
    <s v="Purity out of spec"/>
    <x v="1"/>
  </r>
  <r>
    <s v="RCV000119"/>
    <s v="PO000117"/>
    <d v="2024-05-29T00:00:00"/>
    <s v="M01"/>
    <x v="13"/>
    <s v="Silicon wafers"/>
    <s v="wafer"/>
    <s v="S02"/>
    <x v="17"/>
    <n v="28764.42"/>
    <n v="9.3140000000000001"/>
    <s v="Certificate (COA) mismatch"/>
    <x v="1"/>
  </r>
  <r>
    <s v="RCV000120"/>
    <s v="PO000119"/>
    <d v="2024-05-29T00:00:00"/>
    <s v="M06"/>
    <x v="15"/>
    <s v="Specialty gases"/>
    <s v="kg"/>
    <s v="S07"/>
    <x v="11"/>
    <n v="2300.866"/>
    <n v="0.85699999999999998"/>
    <s v="Particle contamination"/>
    <x v="1"/>
  </r>
  <r>
    <s v="RCV000122"/>
    <s v="PO000127"/>
    <d v="2024-05-28T00:00:00"/>
    <s v="M17"/>
    <x v="11"/>
    <s v="Bonding &amp; mold"/>
    <s v="meter"/>
    <s v="S16"/>
    <x v="9"/>
    <n v="13891425.560000001"/>
    <n v="13370.333000000001"/>
    <s v="Damaged packaging"/>
    <x v="1"/>
  </r>
  <r>
    <s v="RCV000123"/>
    <s v="PO000110"/>
    <d v="2024-06-04T00:00:00"/>
    <s v="M02"/>
    <x v="18"/>
    <s v="Photoresist"/>
    <s v="liter"/>
    <s v="S03"/>
    <x v="14"/>
    <n v="842.57399999999996"/>
    <n v="3.2989999999999999"/>
    <s v="Purity out of spec"/>
    <x v="1"/>
  </r>
  <r>
    <s v="RCV000124"/>
    <s v="PO000114"/>
    <d v="2024-06-04T00:00:00"/>
    <s v="M16"/>
    <x v="20"/>
    <s v="Package substrates"/>
    <s v="each"/>
    <s v="S15"/>
    <x v="16"/>
    <n v="25577144.577"/>
    <n v="17610.263999999999"/>
    <s v="Damaged packaging"/>
    <x v="1"/>
  </r>
  <r>
    <s v="RCV000125"/>
    <s v="PO000141"/>
    <d v="2024-06-06T00:00:00"/>
    <s v="M08"/>
    <x v="6"/>
    <s v="Wet chemicals"/>
    <s v="liter"/>
    <s v="S09"/>
    <x v="6"/>
    <n v="144346.75200000001"/>
    <n v="308.66899999999998"/>
    <s v="Certificate (COA) mismatch"/>
    <x v="1"/>
  </r>
  <r>
    <s v="RCV000127"/>
    <s v="PO000124"/>
    <d v="2024-06-13T00:00:00"/>
    <s v="M20"/>
    <x v="16"/>
    <s v="Underfill"/>
    <s v="kit"/>
    <s v="S18"/>
    <x v="12"/>
    <n v="68279.320999999996"/>
    <n v="15.013999999999999"/>
    <s v="Damaged packaging"/>
    <x v="1"/>
  </r>
  <r>
    <s v="RCV000128"/>
    <s v="PO000128"/>
    <d v="2024-06-14T00:00:00"/>
    <s v="M18"/>
    <x v="12"/>
    <s v="Bonding &amp; mold"/>
    <s v="gram"/>
    <s v="S16"/>
    <x v="9"/>
    <n v="8110212.733"/>
    <n v="7305.2820000000002"/>
    <s v="Dimensional"/>
    <x v="1"/>
  </r>
  <r>
    <s v="RCV000130"/>
    <s v="PO000135"/>
    <d v="2024-06-13T00:00:00"/>
    <s v="M10"/>
    <x v="9"/>
    <s v="CMP consumables"/>
    <s v="liter"/>
    <s v="S10"/>
    <x v="8"/>
    <n v="14402.86"/>
    <n v="23.37"/>
    <s v="Dimensional"/>
    <x v="1"/>
  </r>
  <r>
    <s v="RCV000131"/>
    <s v="PO000136"/>
    <d v="2024-06-14T00:00:00"/>
    <s v="M11"/>
    <x v="10"/>
    <s v="CMP consumables"/>
    <s v="each"/>
    <s v="S10"/>
    <x v="8"/>
    <n v="288.46899999999999"/>
    <n v="7.9000000000000001E-2"/>
    <s v="Certificate (COA) mismatch"/>
    <x v="1"/>
  </r>
  <r>
    <s v="RCV000132"/>
    <s v="PO000140"/>
    <d v="2024-06-13T00:00:00"/>
    <s v="M07"/>
    <x v="8"/>
    <s v="Specialty gases"/>
    <s v="kg"/>
    <s v="S08"/>
    <x v="7"/>
    <n v="3454.7719999999999"/>
    <n v="2.677"/>
    <s v="Purity out of spec"/>
    <x v="1"/>
  </r>
  <r>
    <s v="RCV000133"/>
    <s v="PO000153"/>
    <d v="2024-06-18T00:00:00"/>
    <s v="M21"/>
    <x v="4"/>
    <s v="Trays &amp; reels"/>
    <s v="each"/>
    <s v="S19"/>
    <x v="4"/>
    <n v="26181350.603999998"/>
    <n v="28636.935000000001"/>
    <s v="Dimensional"/>
    <x v="1"/>
  </r>
  <r>
    <s v="RCV000134"/>
    <s v="PO000132"/>
    <d v="2024-06-24T00:00:00"/>
    <s v="M04"/>
    <x v="17"/>
    <s v="Specialty gases"/>
    <s v="cylinder"/>
    <s v="S05"/>
    <x v="13"/>
    <n v="144"/>
    <n v="1.468"/>
    <s v="Purity out of spec"/>
    <x v="1"/>
  </r>
  <r>
    <s v="RCV000135"/>
    <s v="PO000137"/>
    <d v="2024-06-27T00:00:00"/>
    <s v="M01"/>
    <x v="13"/>
    <s v="Silicon wafers"/>
    <s v="wafer"/>
    <s v="S01"/>
    <x v="10"/>
    <n v="24000"/>
    <n v="7.8979999999999997"/>
    <s v="Damaged packaging"/>
    <x v="1"/>
  </r>
  <r>
    <s v="RCV000136"/>
    <s v="PO000138"/>
    <d v="2024-06-29T00:00:00"/>
    <s v="M05"/>
    <x v="14"/>
    <s v="Specialty gases"/>
    <s v="kg"/>
    <s v="S07"/>
    <x v="11"/>
    <n v="19080.276000000002"/>
    <n v="10.189"/>
    <s v="Damaged packaging"/>
    <x v="1"/>
  </r>
  <r>
    <s v="RCV000137"/>
    <s v="PO000139"/>
    <d v="2024-06-26T00:00:00"/>
    <s v="M06"/>
    <x v="15"/>
    <s v="Specialty gases"/>
    <s v="kg"/>
    <s v="S07"/>
    <x v="11"/>
    <n v="1920.202"/>
    <n v="0.64"/>
    <s v="Dimensional"/>
    <x v="1"/>
  </r>
  <r>
    <s v="RCV000138"/>
    <s v="PO000146"/>
    <d v="2024-06-25T00:00:00"/>
    <s v="M09"/>
    <x v="7"/>
    <s v="Wet chemicals"/>
    <s v="liter"/>
    <s v="S09"/>
    <x v="6"/>
    <n v="60043.406000000003"/>
    <n v="59.942"/>
    <s v="Damaged packaging"/>
    <x v="1"/>
  </r>
  <r>
    <s v="RCV000139"/>
    <s v="PO000149"/>
    <d v="2024-06-25T00:00:00"/>
    <s v="M03"/>
    <x v="5"/>
    <s v="Wet chemicals"/>
    <s v="liter"/>
    <s v="S06"/>
    <x v="5"/>
    <n v="43202.328000000001"/>
    <n v="15.537000000000001"/>
    <s v="Damaged packaging"/>
    <x v="1"/>
  </r>
  <r>
    <s v="RCV000140"/>
    <s v="PO000126"/>
    <d v="2024-07-03T00:00:00"/>
    <s v="M13"/>
    <x v="19"/>
    <s v="ALD precursors"/>
    <s v="kg"/>
    <s v="S12"/>
    <x v="15"/>
    <n v="96.171999999999997"/>
    <n v="5.7000000000000002E-2"/>
    <s v="Purity out of spec"/>
    <x v="1"/>
  </r>
  <r>
    <s v="RCV000142"/>
    <s v="PO000134"/>
    <d v="2024-07-11T00:00:00"/>
    <s v="M16"/>
    <x v="20"/>
    <s v="Package substrates"/>
    <s v="each"/>
    <s v="S15"/>
    <x v="16"/>
    <n v="23115557.925999999"/>
    <n v="34865.953999999998"/>
    <s v="Particle contamination"/>
    <x v="1"/>
  </r>
  <r>
    <s v="RCV000143"/>
    <s v="PO000151"/>
    <d v="2024-07-12T00:00:00"/>
    <s v="M17"/>
    <x v="11"/>
    <s v="Bonding &amp; mold"/>
    <s v="meter"/>
    <s v="S16"/>
    <x v="9"/>
    <n v="15677301.205"/>
    <n v="28103.600999999999"/>
    <s v="Damaged packaging"/>
    <x v="1"/>
  </r>
  <r>
    <s v="RCV000144"/>
    <s v="PO000152"/>
    <d v="2024-07-11T00:00:00"/>
    <s v="M18"/>
    <x v="12"/>
    <s v="Bonding &amp; mold"/>
    <s v="gram"/>
    <s v="S16"/>
    <x v="9"/>
    <n v="9131677.0350000001"/>
    <n v="12629.453"/>
    <s v="Particle contamination"/>
    <x v="1"/>
  </r>
  <r>
    <s v="RCV000145"/>
    <s v="PO000159"/>
    <d v="2024-07-12T00:00:00"/>
    <s v="M08"/>
    <x v="6"/>
    <s v="Wet chemicals"/>
    <s v="liter"/>
    <s v="S06"/>
    <x v="5"/>
    <n v="144158.66899999999"/>
    <n v="25.84"/>
    <s v="Dimensional"/>
    <x v="1"/>
  </r>
  <r>
    <s v="RCV000147"/>
    <s v="PO000145"/>
    <d v="2024-07-15T00:00:00"/>
    <s v="M20"/>
    <x v="16"/>
    <s v="Underfill"/>
    <s v="kit"/>
    <s v="S18"/>
    <x v="12"/>
    <n v="66769.099000000002"/>
    <n v="4.6760000000000002"/>
    <s v="Dimensional"/>
    <x v="1"/>
  </r>
  <r>
    <s v="RCV000148"/>
    <s v="PO000154"/>
    <d v="2024-07-16T00:00:00"/>
    <s v="M10"/>
    <x v="9"/>
    <s v="CMP consumables"/>
    <s v="liter"/>
    <s v="S10"/>
    <x v="8"/>
    <n v="14423.37"/>
    <n v="36.433999999999997"/>
    <s v="Purity out of spec"/>
    <x v="1"/>
  </r>
  <r>
    <s v="RCV000149"/>
    <s v="PO000155"/>
    <d v="2024-07-17T00:00:00"/>
    <s v="M11"/>
    <x v="10"/>
    <s v="CMP consumables"/>
    <s v="each"/>
    <s v="S10"/>
    <x v="8"/>
    <n v="288.07900000000001"/>
    <n v="4.2000000000000003E-2"/>
    <s v="Purity out of spec"/>
    <x v="1"/>
  </r>
  <r>
    <s v="RCV000150"/>
    <s v="PO000130"/>
    <d v="2024-07-22T00:00:00"/>
    <s v="M02"/>
    <x v="18"/>
    <s v="Photoresist"/>
    <s v="liter"/>
    <s v="S03"/>
    <x v="14"/>
    <n v="840.65599999999995"/>
    <n v="0.71099999999999997"/>
    <s v="Certificate (COA) mismatch"/>
    <x v="1"/>
  </r>
  <r>
    <s v="RCV000153"/>
    <s v="PO000150"/>
    <d v="2024-07-28T00:00:00"/>
    <s v="M04"/>
    <x v="17"/>
    <s v="Specialty gases"/>
    <s v="cylinder"/>
    <s v="S05"/>
    <x v="13"/>
    <n v="144.57499999999999"/>
    <n v="1.1719999999999999"/>
    <s v="Certificate (COA) mismatch"/>
    <x v="1"/>
  </r>
  <r>
    <s v="RCV000154"/>
    <s v="PO000158"/>
    <d v="2024-07-27T00:00:00"/>
    <s v="M05"/>
    <x v="14"/>
    <s v="Specialty gases"/>
    <s v="kg"/>
    <s v="S07"/>
    <x v="11"/>
    <n v="21611.284"/>
    <n v="0.80200000000000005"/>
    <s v="Purity out of spec"/>
    <x v="1"/>
  </r>
  <r>
    <s v="RCV000155"/>
    <s v="PO000163"/>
    <d v="2024-07-25T00:00:00"/>
    <s v="M07"/>
    <x v="8"/>
    <s v="Specialty gases"/>
    <s v="kg"/>
    <s v="S08"/>
    <x v="7"/>
    <n v="3455.6770000000001"/>
    <n v="1.7569999999999999"/>
    <s v="Purity out of spec"/>
    <x v="1"/>
  </r>
  <r>
    <s v="RCV000156"/>
    <s v="PO000172"/>
    <d v="2024-07-25T00:00:00"/>
    <s v="M21"/>
    <x v="4"/>
    <s v="Trays &amp; reels"/>
    <s v="each"/>
    <s v="S19"/>
    <x v="4"/>
    <n v="25125656.653999999"/>
    <n v="803.02800000000002"/>
    <s v="Particle contamination"/>
    <x v="1"/>
  </r>
  <r>
    <s v="RCV000158"/>
    <s v="PO000162"/>
    <d v="2024-08-04T00:00:00"/>
    <s v="M06"/>
    <x v="15"/>
    <s v="Specialty gases"/>
    <s v="kg"/>
    <s v="S07"/>
    <x v="11"/>
    <n v="2303.4969999999998"/>
    <n v="8.7270000000000003"/>
    <s v="Purity out of spec"/>
    <x v="1"/>
  </r>
  <r>
    <s v="RCV000159"/>
    <s v="PO000147"/>
    <d v="2024-08-06T00:00:00"/>
    <s v="M13"/>
    <x v="19"/>
    <s v="ALD precursors"/>
    <s v="kg"/>
    <s v="S12"/>
    <x v="15"/>
    <n v="96.055999999999997"/>
    <n v="0.127"/>
    <s v="Damaged packaging"/>
    <x v="1"/>
  </r>
  <r>
    <s v="RCV000160"/>
    <s v="PO000161"/>
    <d v="2024-08-08T00:00:00"/>
    <s v="M01"/>
    <x v="13"/>
    <s v="Silicon wafers"/>
    <s v="wafer"/>
    <s v="S02"/>
    <x v="17"/>
    <n v="25697.64"/>
    <n v="61.665999999999997"/>
    <s v="Dimensional"/>
    <x v="1"/>
  </r>
  <r>
    <s v="RCV000161"/>
    <s v="PO000174"/>
    <d v="2024-08-06T00:00:00"/>
    <s v="M03"/>
    <x v="5"/>
    <s v="Wet chemicals"/>
    <s v="liter"/>
    <s v="S06"/>
    <x v="5"/>
    <n v="51810.536999999997"/>
    <n v="15.026"/>
    <s v="Dimensional"/>
    <x v="1"/>
  </r>
  <r>
    <s v="RCV000162"/>
    <s v="PO000148"/>
    <d v="2024-08-14T00:00:00"/>
    <s v="M02"/>
    <x v="18"/>
    <s v="Photoresist"/>
    <s v="liter"/>
    <s v="S03"/>
    <x v="14"/>
    <n v="843.29899999999998"/>
    <n v="3.8919999999999999"/>
    <s v="Certificate (COA) mismatch"/>
    <x v="1"/>
  </r>
  <r>
    <s v="RCV000164"/>
    <s v="PO000170"/>
    <d v="2024-08-17T00:00:00"/>
    <s v="M17"/>
    <x v="11"/>
    <s v="Bonding &amp; mold"/>
    <s v="meter"/>
    <s v="S16"/>
    <x v="9"/>
    <n v="15045192.352"/>
    <n v="29437.807000000001"/>
    <s v="Dimensional"/>
    <x v="1"/>
  </r>
  <r>
    <s v="RCV000165"/>
    <s v="PO000171"/>
    <d v="2024-08-18T00:00:00"/>
    <s v="M18"/>
    <x v="12"/>
    <s v="Bonding &amp; mold"/>
    <s v="gram"/>
    <s v="S16"/>
    <x v="9"/>
    <n v="8779903.1740000006"/>
    <n v="4104.2870000000003"/>
    <s v="Purity out of spec"/>
    <x v="1"/>
  </r>
  <r>
    <s v="RCV000166"/>
    <s v="PO000156"/>
    <d v="2024-08-20T00:00:00"/>
    <s v="M16"/>
    <x v="20"/>
    <s v="Package substrates"/>
    <s v="each"/>
    <s v="S15"/>
    <x v="16"/>
    <n v="26805745.890999999"/>
    <n v="370641.99300000002"/>
    <s v="Purity out of spec"/>
    <x v="1"/>
  </r>
  <r>
    <s v="RCV000168"/>
    <s v="PO000165"/>
    <d v="2024-08-22T00:00:00"/>
    <s v="M20"/>
    <x v="16"/>
    <s v="Underfill"/>
    <s v="kit"/>
    <s v="S18"/>
    <x v="12"/>
    <n v="73526.2"/>
    <n v="6.5010000000000003"/>
    <s v="Certificate (COA) mismatch"/>
    <x v="1"/>
  </r>
  <r>
    <s v="RCV000169"/>
    <s v="PO000175"/>
    <d v="2024-08-20T00:00:00"/>
    <s v="M10"/>
    <x v="9"/>
    <s v="CMP consumables"/>
    <s v="liter"/>
    <s v="S10"/>
    <x v="8"/>
    <n v="14421.433999999999"/>
    <n v="5.4560000000000004"/>
    <s v="Dimensional"/>
    <x v="1"/>
  </r>
  <r>
    <s v="RCV000170"/>
    <s v="PO000181"/>
    <d v="2024-08-25T00:00:00"/>
    <s v="M08"/>
    <x v="6"/>
    <s v="Wet chemicals"/>
    <s v="liter"/>
    <s v="S06"/>
    <x v="5"/>
    <n v="172525.84"/>
    <n v="278.43599999999998"/>
    <s v="Dimensional"/>
    <x v="1"/>
  </r>
  <r>
    <s v="RCV000171"/>
    <s v="PO000168"/>
    <d v="2024-09-01T00:00:00"/>
    <s v="M09"/>
    <x v="7"/>
    <s v="Wet chemicals"/>
    <s v="liter"/>
    <s v="S09"/>
    <x v="6"/>
    <n v="71997.441999999995"/>
    <n v="76.924000000000007"/>
    <s v="Certificate (COA) mismatch"/>
    <x v="1"/>
  </r>
  <r>
    <s v="RCV000172"/>
    <s v="PO000178"/>
    <d v="2024-08-30T00:00:00"/>
    <s v="M11"/>
    <x v="10"/>
    <s v="CMP consumables"/>
    <s v="each"/>
    <s v="S10"/>
    <x v="8"/>
    <n v="345.04199999999997"/>
    <n v="0.14499999999999999"/>
    <s v="Certificate (COA) mismatch"/>
    <x v="1"/>
  </r>
  <r>
    <s v="RCV000173"/>
    <s v="PO000191"/>
    <d v="2024-08-26T00:00:00"/>
    <s v="M21"/>
    <x v="4"/>
    <s v="Trays &amp; reels"/>
    <s v="each"/>
    <s v="S19"/>
    <x v="4"/>
    <n v="23915279.221000001"/>
    <n v="5130.4859999999999"/>
    <s v="Purity out of spec"/>
    <x v="1"/>
  </r>
  <r>
    <s v="RCV000175"/>
    <s v="PO000167"/>
    <d v="2024-09-03T00:00:00"/>
    <s v="M04"/>
    <x v="17"/>
    <s v="Specialty gases"/>
    <s v="cylinder"/>
    <s v="S05"/>
    <x v="13"/>
    <n v="145.31800000000001"/>
    <n v="5.5E-2"/>
    <s v="Dimensional"/>
    <x v="1"/>
  </r>
  <r>
    <s v="RCV000176"/>
    <s v="PO000177"/>
    <d v="2024-09-03T00:00:00"/>
    <s v="M05"/>
    <x v="14"/>
    <s v="Specialty gases"/>
    <s v="kg"/>
    <s v="S07"/>
    <x v="11"/>
    <n v="24108.215"/>
    <n v="11.396000000000001"/>
    <s v="Damaged packaging"/>
    <x v="1"/>
  </r>
  <r>
    <s v="RCV000177"/>
    <s v="PO000184"/>
    <d v="2024-09-03T00:00:00"/>
    <s v="M07"/>
    <x v="8"/>
    <s v="Specialty gases"/>
    <s v="kg"/>
    <s v="S08"/>
    <x v="7"/>
    <n v="3451.7570000000001"/>
    <n v="0.76900000000000002"/>
    <s v="Certificate (COA) mismatch"/>
    <x v="1"/>
  </r>
  <r>
    <s v="RCV000178"/>
    <s v="PO000192"/>
    <d v="2024-09-04T00:00:00"/>
    <s v="M09"/>
    <x v="7"/>
    <s v="Wet chemicals"/>
    <s v="liter"/>
    <s v="S09"/>
    <x v="6"/>
    <n v="65750"/>
    <n v="82.123999999999995"/>
    <s v="Particle contamination"/>
    <x v="1"/>
  </r>
  <r>
    <s v="RCV000179"/>
    <s v="PO000180"/>
    <d v="2024-09-09T00:00:00"/>
    <s v="M06"/>
    <x v="15"/>
    <s v="Specialty gases"/>
    <s v="kg"/>
    <s v="S07"/>
    <x v="11"/>
    <n v="1924.7270000000001"/>
    <n v="1.347"/>
    <s v="Dimensional"/>
    <x v="1"/>
  </r>
  <r>
    <s v="RCV000180"/>
    <s v="PO000169"/>
    <d v="2024-09-18T00:00:00"/>
    <s v="M13"/>
    <x v="19"/>
    <s v="ALD precursors"/>
    <s v="kg"/>
    <s v="S12"/>
    <x v="15"/>
    <n v="115.157"/>
    <n v="0.10199999999999999"/>
    <s v="Damaged packaging"/>
    <x v="1"/>
  </r>
  <r>
    <s v="RCV000181"/>
    <s v="PO000183"/>
    <d v="2024-09-21T00:00:00"/>
    <s v="M01"/>
    <x v="13"/>
    <s v="Silicon wafers"/>
    <s v="wafer"/>
    <s v="S01"/>
    <x v="10"/>
    <n v="31906.238000000001"/>
    <n v="15.108000000000001"/>
    <s v="Damaged packaging"/>
    <x v="1"/>
  </r>
  <r>
    <s v="RCV000182"/>
    <s v="PO000189"/>
    <d v="2024-09-19T00:00:00"/>
    <s v="M17"/>
    <x v="11"/>
    <s v="Bonding &amp; mold"/>
    <s v="meter"/>
    <s v="S16"/>
    <x v="9"/>
    <n v="14336298.893999999"/>
    <n v="15303.941999999999"/>
    <s v="Dimensional"/>
    <x v="1"/>
  </r>
  <r>
    <s v="RCV000183"/>
    <s v="PO000190"/>
    <d v="2024-09-19T00:00:00"/>
    <s v="M18"/>
    <x v="12"/>
    <s v="Bonding &amp; mold"/>
    <s v="gram"/>
    <s v="S16"/>
    <x v="9"/>
    <n v="8349773.2539999997"/>
    <n v="2635.6109999999999"/>
    <s v="Particle contamination"/>
    <x v="1"/>
  </r>
  <r>
    <s v="RCV000184"/>
    <s v="PO000196"/>
    <d v="2024-09-20T00:00:00"/>
    <s v="M03"/>
    <x v="5"/>
    <s v="Wet chemicals"/>
    <s v="liter"/>
    <s v="S06"/>
    <x v="5"/>
    <n v="47355.025999999998"/>
    <n v="22.48"/>
    <s v="Purity out of spec"/>
    <x v="1"/>
  </r>
  <r>
    <s v="RCV000185"/>
    <s v="PO000173"/>
    <d v="2024-09-26T00:00:00"/>
    <s v="M02"/>
    <x v="18"/>
    <s v="Photoresist"/>
    <s v="liter"/>
    <s v="S03"/>
    <x v="14"/>
    <n v="1007.125"/>
    <n v="0.94799999999999995"/>
    <s v="Damaged packaging"/>
    <x v="1"/>
  </r>
  <r>
    <s v="RCV000186"/>
    <s v="PO000176"/>
    <d v="2024-09-25T00:00:00"/>
    <s v="M16"/>
    <x v="20"/>
    <s v="Package substrates"/>
    <s v="each"/>
    <s v="S15"/>
    <x v="16"/>
    <n v="24366956.179000001"/>
    <n v="13464.189"/>
    <s v="Particle contamination"/>
    <x v="1"/>
  </r>
  <r>
    <s v="RCV000187"/>
    <s v="PO000182"/>
    <d v="2024-09-26T00:00:00"/>
    <s v="M20"/>
    <x v="16"/>
    <s v="Underfill"/>
    <s v="kit"/>
    <s v="S18"/>
    <x v="12"/>
    <n v="70033.728000000003"/>
    <n v="6.6159999999999997"/>
    <s v="Dimensional"/>
    <x v="1"/>
  </r>
  <r>
    <s v="RCV000189"/>
    <s v="PO000197"/>
    <d v="2024-10-03T00:00:00"/>
    <s v="M10"/>
    <x v="9"/>
    <s v="CMP consumables"/>
    <s v="liter"/>
    <s v="S10"/>
    <x v="8"/>
    <n v="15785.456"/>
    <n v="177.613"/>
    <s v="Certificate (COA) mismatch"/>
    <x v="1"/>
  </r>
  <r>
    <s v="RCV000190"/>
    <s v="PO000202"/>
    <d v="2024-10-03T00:00:00"/>
    <s v="M08"/>
    <x v="6"/>
    <s v="Wet chemicals"/>
    <s v="liter"/>
    <s v="S09"/>
    <x v="6"/>
    <n v="157928.43599999999"/>
    <n v="107.232"/>
    <s v="Damaged packaging"/>
    <x v="1"/>
  </r>
  <r>
    <s v="RCV000191"/>
    <s v="PO000208"/>
    <d v="2024-10-04T00:00:00"/>
    <s v="M21"/>
    <x v="4"/>
    <s v="Trays &amp; reels"/>
    <s v="each"/>
    <s v="S19"/>
    <x v="4"/>
    <n v="24570979.921999998"/>
    <n v="5726.3389999999999"/>
    <s v="Purity out of spec"/>
    <x v="1"/>
  </r>
  <r>
    <s v="RCV000192"/>
    <s v="PO000186"/>
    <d v="2024-10-11T00:00:00"/>
    <s v="M04"/>
    <x v="17"/>
    <s v="Specialty gases"/>
    <s v="cylinder"/>
    <s v="S05"/>
    <x v="13"/>
    <n v="144.72200000000001"/>
    <n v="3.53"/>
    <s v="Certificate (COA) mismatch"/>
    <x v="1"/>
  </r>
  <r>
    <s v="RCV000193"/>
    <s v="PO000199"/>
    <d v="2024-10-09T00:00:00"/>
    <s v="M11"/>
    <x v="10"/>
    <s v="CMP consumables"/>
    <s v="each"/>
    <s v="S10"/>
    <x v="8"/>
    <n v="315.745"/>
    <n v="1.657"/>
    <s v="Certificate (COA) mismatch"/>
    <x v="1"/>
  </r>
  <r>
    <s v="RCV000195"/>
    <s v="PO000198"/>
    <d v="2024-10-16T00:00:00"/>
    <s v="M05"/>
    <x v="14"/>
    <s v="Specialty gases"/>
    <s v="kg"/>
    <s v="S07"/>
    <x v="11"/>
    <n v="23681.396000000001"/>
    <n v="25.17"/>
    <s v="Certificate (COA) mismatch"/>
    <x v="1"/>
  </r>
  <r>
    <s v="RCV000196"/>
    <s v="PO000204"/>
    <d v="2024-10-17T00:00:00"/>
    <s v="M07"/>
    <x v="8"/>
    <s v="Specialty gases"/>
    <s v="kg"/>
    <s v="S08"/>
    <x v="7"/>
    <n v="3153.7689999999998"/>
    <n v="0.59899999999999998"/>
    <s v="Damaged packaging"/>
    <x v="1"/>
  </r>
  <r>
    <s v="RCV000198"/>
    <s v="PO000201"/>
    <d v="2024-10-22T00:00:00"/>
    <s v="M06"/>
    <x v="15"/>
    <s v="Specialty gases"/>
    <s v="kg"/>
    <s v="S07"/>
    <x v="11"/>
    <n v="2103.3470000000002"/>
    <n v="3.2429999999999999"/>
    <s v="Particle contamination"/>
    <x v="1"/>
  </r>
  <r>
    <s v="RCV000199"/>
    <s v="PO000214"/>
    <d v="2024-10-25T00:00:00"/>
    <s v="M09"/>
    <x v="7"/>
    <s v="Wet chemicals"/>
    <s v="liter"/>
    <s v="S09"/>
    <x v="6"/>
    <n v="71971.547999999995"/>
    <n v="36.506"/>
    <s v="Purity out of spec"/>
    <x v="1"/>
  </r>
  <r>
    <s v="RCV000200"/>
    <s v="PO000193"/>
    <d v="2024-10-31T00:00:00"/>
    <s v="M13"/>
    <x v="19"/>
    <s v="ALD precursors"/>
    <s v="kg"/>
    <s v="S12"/>
    <x v="15"/>
    <n v="105.327"/>
    <n v="5.8999999999999997E-2"/>
    <s v="Certificate (COA) mismatch"/>
    <x v="1"/>
  </r>
  <r>
    <s v="RCV000201"/>
    <s v="PO000194"/>
    <d v="2024-11-01T00:00:00"/>
    <s v="M16"/>
    <x v="20"/>
    <s v="Package substrates"/>
    <s v="each"/>
    <s v="S15"/>
    <x v="16"/>
    <n v="25124969.208999999"/>
    <n v="108018.83100000001"/>
    <s v="Damaged packaging"/>
    <x v="1"/>
  </r>
  <r>
    <s v="RCV000202"/>
    <s v="PO000200"/>
    <d v="2024-11-01T00:00:00"/>
    <s v="M20"/>
    <x v="16"/>
    <s v="Underfill"/>
    <s v="kit"/>
    <s v="S18"/>
    <x v="12"/>
    <n v="68916.259000000005"/>
    <n v="56.137999999999998"/>
    <s v="Purity out of spec"/>
    <x v="1"/>
  </r>
  <r>
    <s v="RCV000203"/>
    <s v="PO000203"/>
    <d v="2024-10-31T00:00:00"/>
    <s v="M01"/>
    <x v="13"/>
    <s v="Silicon wafers"/>
    <s v="wafer"/>
    <s v="S02"/>
    <x v="17"/>
    <n v="26290.108"/>
    <n v="1.5820000000000001"/>
    <s v="Dimensional"/>
    <x v="1"/>
  </r>
  <r>
    <s v="RCV000204"/>
    <s v="PO000207"/>
    <d v="2024-10-29T00:00:00"/>
    <s v="M18"/>
    <x v="12"/>
    <s v="Bonding &amp; mold"/>
    <s v="gram"/>
    <s v="S16"/>
    <x v="9"/>
    <n v="8577172.7770000007"/>
    <n v="13971.495999999999"/>
    <s v="Purity out of spec"/>
    <x v="1"/>
  </r>
  <r>
    <s v="RCV000206"/>
    <s v="PO000206"/>
    <d v="2024-11-09T00:00:00"/>
    <s v="M17"/>
    <x v="11"/>
    <s v="Bonding &amp; mold"/>
    <s v="meter"/>
    <s v="S16"/>
    <x v="9"/>
    <n v="14714510.512"/>
    <n v="9454.1740000000009"/>
    <s v="Purity out of spec"/>
    <x v="1"/>
  </r>
  <r>
    <s v="RCV000208"/>
    <s v="PO000215"/>
    <d v="2024-11-06T00:00:00"/>
    <s v="M10"/>
    <x v="9"/>
    <s v="CMP consumables"/>
    <s v="liter"/>
    <s v="S10"/>
    <x v="8"/>
    <n v="14532.612999999999"/>
    <n v="66.867000000000004"/>
    <s v="Certificate (COA) mismatch"/>
    <x v="1"/>
  </r>
  <r>
    <s v="RCV000209"/>
    <s v="PO000227"/>
    <d v="2024-11-09T00:00:00"/>
    <s v="M21"/>
    <x v="4"/>
    <s v="Trays &amp; reels"/>
    <s v="each"/>
    <s v="S19"/>
    <x v="4"/>
    <n v="23863869.826000001"/>
    <n v="507.59199999999998"/>
    <s v="Purity out of spec"/>
    <x v="1"/>
  </r>
  <r>
    <s v="RCV000210"/>
    <s v="PO000195"/>
    <d v="2024-11-13T00:00:00"/>
    <s v="M02"/>
    <x v="18"/>
    <s v="Photoresist"/>
    <s v="liter"/>
    <s v="S03"/>
    <x v="14"/>
    <n v="370.041"/>
    <n v="0.52800000000000002"/>
    <s v="Certificate (COA) mismatch"/>
    <x v="1"/>
  </r>
  <r>
    <s v="RCV000211"/>
    <s v="PO000219"/>
    <d v="2024-11-11T00:00:00"/>
    <s v="M11"/>
    <x v="10"/>
    <s v="CMP consumables"/>
    <s v="each"/>
    <s v="S10"/>
    <x v="8"/>
    <n v="288.75700000000001"/>
    <n v="0.81899999999999995"/>
    <s v="Dimensional"/>
    <x v="1"/>
  </r>
  <r>
    <s v="RCV000212"/>
    <s v="PO000223"/>
    <d v="2024-11-11T00:00:00"/>
    <s v="M08"/>
    <x v="6"/>
    <s v="Wet chemicals"/>
    <s v="liter"/>
    <s v="S09"/>
    <x v="6"/>
    <n v="172157.23199999999"/>
    <n v="620.95699999999999"/>
    <s v="Purity out of spec"/>
    <x v="1"/>
  </r>
  <r>
    <s v="RCV000213"/>
    <s v="PO000209"/>
    <d v="2024-11-24T00:00:00"/>
    <s v="M04"/>
    <x v="17"/>
    <s v="Specialty gases"/>
    <s v="cylinder"/>
    <s v="S05"/>
    <x v="13"/>
    <n v="157.85499999999999"/>
    <n v="0.99199999999999999"/>
    <s v="Dimensional"/>
    <x v="1"/>
  </r>
  <r>
    <s v="RCV000214"/>
    <s v="PO000218"/>
    <d v="2024-11-18T00:00:00"/>
    <s v="M03"/>
    <x v="5"/>
    <s v="Wet chemicals"/>
    <s v="liter"/>
    <s v="S09"/>
    <x v="6"/>
    <n v="51682.48"/>
    <n v="114.014"/>
    <s v="Certificate (COA) mismatch"/>
    <x v="1"/>
  </r>
  <r>
    <s v="RCV000215"/>
    <s v="PO000220"/>
    <d v="2024-11-23T00:00:00"/>
    <s v="M05"/>
    <x v="14"/>
    <s v="Specialty gases"/>
    <s v="kg"/>
    <s v="S07"/>
    <x v="11"/>
    <n v="25787.67"/>
    <n v="22.878"/>
    <s v="Dimensional"/>
    <x v="1"/>
  </r>
  <r>
    <s v="RCV000217"/>
    <s v="PO000230"/>
    <d v="2024-11-27T00:00:00"/>
    <s v="M07"/>
    <x v="8"/>
    <s v="Specialty gases"/>
    <s v="kg"/>
    <s v="S08"/>
    <x v="7"/>
    <n v="3438.5990000000002"/>
    <n v="0.8"/>
    <s v="Certificate (COA) mismatch"/>
    <x v="1"/>
  </r>
  <r>
    <s v="RCV000220"/>
    <s v="PO000222"/>
    <d v="2024-12-03T00:00:00"/>
    <s v="M06"/>
    <x v="15"/>
    <s v="Specialty gases"/>
    <s v="kg"/>
    <s v="S07"/>
    <x v="11"/>
    <n v="2297.2429999999999"/>
    <n v="1.1779999999999999"/>
    <s v="Damaged packaging"/>
    <x v="1"/>
  </r>
  <r>
    <s v="RCV000221"/>
    <s v="PO000224"/>
    <d v="2024-12-08T00:00:00"/>
    <s v="M17"/>
    <x v="11"/>
    <s v="Bonding &amp; mold"/>
    <s v="meter"/>
    <s v="S16"/>
    <x v="9"/>
    <n v="14279404.895"/>
    <n v="36299.232000000004"/>
    <s v="Damaged packaging"/>
    <x v="1"/>
  </r>
  <r>
    <s v="RCV000222"/>
    <s v="PO000225"/>
    <d v="2024-12-07T00:00:00"/>
    <s v="M18"/>
    <x v="12"/>
    <s v="Bonding &amp; mold"/>
    <s v="gram"/>
    <s v="S16"/>
    <x v="9"/>
    <n v="8329652.8550000004"/>
    <n v="8224.0529999999999"/>
    <s v="Damaged packaging"/>
    <x v="1"/>
  </r>
  <r>
    <s v="RCV000224"/>
    <s v="PO000221"/>
    <d v="2024-12-13T00:00:00"/>
    <s v="M20"/>
    <x v="16"/>
    <s v="Underfill"/>
    <s v="kit"/>
    <s v="S18"/>
    <x v="12"/>
    <n v="71945.53"/>
    <n v="22.888999999999999"/>
    <s v="Particle contamination"/>
    <x v="1"/>
  </r>
  <r>
    <s v="RCV000225"/>
    <s v="PO000234"/>
    <d v="2024-12-10T00:00:00"/>
    <s v="M09"/>
    <x v="7"/>
    <s v="Wet chemicals"/>
    <s v="liter"/>
    <s v="S09"/>
    <x v="6"/>
    <n v="71474.005999999994"/>
    <n v="110.90300000000001"/>
    <s v="Dimensional"/>
    <x v="1"/>
  </r>
  <r>
    <s v="RCV000226"/>
    <s v="PO000239"/>
    <d v="2024-12-10T00:00:00"/>
    <s v="M03"/>
    <x v="5"/>
    <s v="Wet chemicals"/>
    <s v="liter"/>
    <s v="S09"/>
    <x v="6"/>
    <n v="51504.014000000003"/>
    <n v="22.37"/>
    <s v="Damaged packaging"/>
    <x v="1"/>
  </r>
  <r>
    <s v="RCV000227"/>
    <s v="PO000246"/>
    <d v="2024-12-09T00:00:00"/>
    <s v="M21"/>
    <x v="4"/>
    <s v="Trays &amp; reels"/>
    <s v="each"/>
    <s v="S19"/>
    <x v="4"/>
    <n v="23044660.041999999"/>
    <n v="11196.992"/>
    <s v="Dimensional"/>
    <x v="1"/>
  </r>
  <r>
    <s v="RCV000228"/>
    <s v="PO000212"/>
    <d v="2024-12-18T00:00:00"/>
    <s v="M16"/>
    <x v="20"/>
    <s v="Package substrates"/>
    <s v="each"/>
    <s v="S15"/>
    <x v="16"/>
    <n v="24225660.649"/>
    <n v="65452.951999999997"/>
    <s v="Certificate (COA) mismatch"/>
    <x v="1"/>
  </r>
  <r>
    <s v="RCV000229"/>
    <s v="PO000216"/>
    <d v="2024-12-19T00:00:00"/>
    <s v="M13"/>
    <x v="19"/>
    <s v="ALD precursors"/>
    <s v="kg"/>
    <s v="S12"/>
    <x v="15"/>
    <n v="115.002"/>
    <n v="5.5E-2"/>
    <s v="Certificate (COA) mismatch"/>
    <x v="1"/>
  </r>
  <r>
    <s v="RCV000230"/>
    <s v="PO000228"/>
    <d v="2024-12-16T00:00:00"/>
    <s v="M01"/>
    <x v="13"/>
    <s v="Silicon wafers"/>
    <s v="wafer"/>
    <s v="S01"/>
    <x v="10"/>
    <n v="28651.581999999999"/>
    <n v="2.919"/>
    <s v="Certificate (COA) mismatch"/>
    <x v="1"/>
  </r>
  <r>
    <s v="RCV000231"/>
    <s v="PO000235"/>
    <d v="2024-12-17T00:00:00"/>
    <s v="M10"/>
    <x v="9"/>
    <s v="CMP consumables"/>
    <s v="liter"/>
    <s v="S10"/>
    <x v="8"/>
    <n v="17211.866999999998"/>
    <n v="33.091000000000001"/>
    <s v="Particle contamination"/>
    <x v="1"/>
  </r>
  <r>
    <s v="RCV000232"/>
    <s v="PO000195-B"/>
    <d v="2024-12-25T00:00:00"/>
    <s v="M02"/>
    <x v="18"/>
    <s v="Photoresist"/>
    <s v="liter"/>
    <s v="S03"/>
    <x v="14"/>
    <n v="555.06200000000001"/>
    <n v="0.42199999999999999"/>
    <s v="Damaged packaging"/>
    <x v="1"/>
  </r>
  <r>
    <s v="RCV000233"/>
    <s v="PO000217"/>
    <d v="2024-12-26T00:00:00"/>
    <s v="M02"/>
    <x v="18"/>
    <s v="Photoresist"/>
    <s v="liter"/>
    <s v="S03"/>
    <x v="14"/>
    <n v="402.17899999999997"/>
    <n v="0.90400000000000003"/>
    <s v="Dimensional"/>
    <x v="1"/>
  </r>
  <r>
    <s v="RCV000235"/>
    <s v="PO000240"/>
    <d v="2024-12-24T00:00:00"/>
    <s v="M11"/>
    <x v="10"/>
    <s v="CMP consumables"/>
    <s v="each"/>
    <s v="S10"/>
    <x v="8"/>
    <n v="343.41899999999998"/>
    <n v="0.215"/>
    <s v="Damaged packaging"/>
    <x v="1"/>
  </r>
  <r>
    <s v="RCV000236"/>
    <s v="PO000249"/>
    <d v="2024-12-29T00:00:00"/>
    <s v="M08"/>
    <x v="6"/>
    <s v="Wet chemicals"/>
    <s v="liter"/>
    <s v="S06"/>
    <x v="5"/>
    <n v="172520.95699999999"/>
    <n v="28.058"/>
    <s v="Damaged packaging"/>
    <x v="1"/>
  </r>
  <r>
    <s v="RCV000237"/>
    <s v="PO000244"/>
    <d v="2025-01-01T00:00:00"/>
    <s v="M17"/>
    <x v="11"/>
    <s v="Bonding &amp; mold"/>
    <s v="meter"/>
    <s v="S16"/>
    <x v="9"/>
    <n v="13790948.140000001"/>
    <n v="10556.99"/>
    <s v="Dimensional"/>
    <x v="2"/>
  </r>
  <r>
    <s v="RCV000238"/>
    <s v="PO000245"/>
    <d v="2025-01-04T00:00:00"/>
    <s v="M18"/>
    <x v="12"/>
    <s v="Bonding &amp; mold"/>
    <s v="gram"/>
    <s v="S16"/>
    <x v="9"/>
    <n v="8053176.3090000004"/>
    <n v="1710.65"/>
    <s v="Dimensional"/>
    <x v="2"/>
  </r>
  <r>
    <s v="RCV000240"/>
    <s v="PO000229"/>
    <d v="2025-01-08T00:00:00"/>
    <s v="M04"/>
    <x v="17"/>
    <s v="Specialty gases"/>
    <s v="cylinder"/>
    <s v="S05"/>
    <x v="13"/>
    <n v="146.63"/>
    <n v="9.2999999999999999E-2"/>
    <s v="Certificate (COA) mismatch"/>
    <x v="2"/>
  </r>
  <r>
    <s v="RCV000242"/>
    <s v="PO000241"/>
    <d v="2025-01-12T00:00:00"/>
    <s v="M20"/>
    <x v="16"/>
    <s v="Underfill"/>
    <s v="kit"/>
    <s v="S18"/>
    <x v="12"/>
    <n v="69905.188999999998"/>
    <n v="36.494999999999997"/>
    <s v="Purity out of spec"/>
    <x v="2"/>
  </r>
  <r>
    <s v="RCV000243"/>
    <s v="PO000242"/>
    <d v="2025-01-10T00:00:00"/>
    <s v="M05"/>
    <x v="14"/>
    <s v="Specialty gases"/>
    <s v="kg"/>
    <s v="S08"/>
    <x v="7"/>
    <n v="25807.878000000001"/>
    <n v="10.260999999999999"/>
    <s v="Particle contamination"/>
    <x v="2"/>
  </r>
  <r>
    <s v="RCV000244"/>
    <s v="PO000253"/>
    <d v="2025-01-08T00:00:00"/>
    <s v="M07"/>
    <x v="8"/>
    <s v="Specialty gases"/>
    <s v="kg"/>
    <s v="S08"/>
    <x v="7"/>
    <n v="2823.4450000000002"/>
    <n v="0.108"/>
    <s v="Particle contamination"/>
    <x v="2"/>
  </r>
  <r>
    <s v="RCV000245"/>
    <s v="PO000232"/>
    <d v="2025-01-15T00:00:00"/>
    <s v="M16"/>
    <x v="20"/>
    <s v="Package substrates"/>
    <s v="each"/>
    <s v="S15"/>
    <x v="16"/>
    <n v="23593267.32"/>
    <n v="40309.067999999999"/>
    <s v="Purity out of spec"/>
    <x v="2"/>
  </r>
  <r>
    <s v="RCV000246"/>
    <s v="PO000248"/>
    <d v="2025-01-13T00:00:00"/>
    <s v="M06"/>
    <x v="15"/>
    <s v="Specialty gases"/>
    <s v="kg"/>
    <s v="S07"/>
    <x v="11"/>
    <n v="2293.1779999999999"/>
    <n v="3.1150000000000002"/>
    <s v="Damaged packaging"/>
    <x v="2"/>
  </r>
  <r>
    <s v="RCV000247"/>
    <s v="PO000236"/>
    <d v="2025-01-23T00:00:00"/>
    <s v="M13"/>
    <x v="19"/>
    <s v="ALD precursors"/>
    <s v="kg"/>
    <s v="S12"/>
    <x v="15"/>
    <n v="114.35899999999999"/>
    <n v="4.5999999999999999E-2"/>
    <s v="Damaged packaging"/>
    <x v="2"/>
  </r>
  <r>
    <s v="RCV000248"/>
    <s v="PO000247"/>
    <d v="2025-01-25T00:00:00"/>
    <s v="M04"/>
    <x v="17"/>
    <s v="Specialty gases"/>
    <s v="cylinder"/>
    <s v="S05"/>
    <x v="13"/>
    <n v="144.24199999999999"/>
    <n v="0.108"/>
    <s v="Damaged packaging"/>
    <x v="2"/>
  </r>
  <r>
    <s v="RCV000249"/>
    <s v="PO000252"/>
    <d v="2025-01-21T00:00:00"/>
    <s v="M01"/>
    <x v="13"/>
    <s v="Silicon wafers"/>
    <s v="wafer"/>
    <s v="S02"/>
    <x v="17"/>
    <n v="28650"/>
    <n v="9.9909999999999997"/>
    <s v="Particle contamination"/>
    <x v="2"/>
  </r>
  <r>
    <s v="RCV000250"/>
    <s v="PO000257"/>
    <d v="2025-01-20T00:00:00"/>
    <s v="M09"/>
    <x v="7"/>
    <s v="Wet chemicals"/>
    <s v="liter"/>
    <s v="S09"/>
    <x v="6"/>
    <n v="56235.983"/>
    <n v="32.337000000000003"/>
    <s v="Certificate (COA) mismatch"/>
    <x v="2"/>
  </r>
  <r>
    <s v="RCV000251"/>
    <s v="PO000238"/>
    <d v="2025-01-30T00:00:00"/>
    <s v="M02"/>
    <x v="18"/>
    <s v="Photoresist"/>
    <s v="liter"/>
    <s v="S03"/>
    <x v="14"/>
    <n v="5712"/>
    <n v="1.2190000000000001"/>
    <s v="Purity out of spec"/>
    <x v="2"/>
  </r>
  <r>
    <s v="RCV000253"/>
    <s v="PO000268"/>
    <d v="2025-01-29T00:00:00"/>
    <s v="M21"/>
    <x v="4"/>
    <s v="Trays &amp; reels"/>
    <s v="each"/>
    <s v="S19"/>
    <x v="4"/>
    <n v="20946569.414999999"/>
    <n v="1835.886"/>
    <s v="Particle contamination"/>
    <x v="2"/>
  </r>
  <r>
    <s v="RCV000254"/>
    <s v="PO000217-B"/>
    <d v="2025-02-06T00:00:00"/>
    <s v="M02"/>
    <x v="18"/>
    <s v="Photoresist"/>
    <s v="liter"/>
    <s v="S03"/>
    <x v="14"/>
    <n v="603.26900000000001"/>
    <n v="0.54500000000000004"/>
    <s v="Particle contamination"/>
    <x v="2"/>
  </r>
  <r>
    <s v="RCV000255"/>
    <s v="PO000263"/>
    <d v="2025-02-03T00:00:00"/>
    <s v="M03"/>
    <x v="5"/>
    <s v="Wet chemicals"/>
    <s v="liter"/>
    <s v="S06"/>
    <x v="5"/>
    <n v="40792.370000000003"/>
    <n v="3.9529999999999998"/>
    <s v="Particle contamination"/>
    <x v="2"/>
  </r>
  <r>
    <s v="RCV000257"/>
    <s v="PO000259"/>
    <d v="2025-02-12T00:00:00"/>
    <s v="M10"/>
    <x v="9"/>
    <s v="CMP consumables"/>
    <s v="liter"/>
    <s v="S10"/>
    <x v="8"/>
    <n v="13593.091"/>
    <n v="9.9480000000000004"/>
    <s v="Damaged packaging"/>
    <x v="2"/>
  </r>
  <r>
    <s v="RCV000259"/>
    <s v="PO000264"/>
    <d v="2025-02-17T00:00:00"/>
    <s v="M11"/>
    <x v="10"/>
    <s v="CMP consumables"/>
    <s v="each"/>
    <s v="S10"/>
    <x v="8"/>
    <n v="272.01499999999999"/>
    <n v="1.7999999999999999E-2"/>
    <s v="Dimensional"/>
    <x v="2"/>
  </r>
  <r>
    <s v="RCV000260"/>
    <s v="PO000266"/>
    <d v="2025-02-17T00:00:00"/>
    <s v="M17"/>
    <x v="11"/>
    <s v="Bonding &amp; mold"/>
    <s v="meter"/>
    <s v="S16"/>
    <x v="9"/>
    <n v="12573336.289999999"/>
    <n v="10555.715"/>
    <s v="Damaged packaging"/>
    <x v="2"/>
  </r>
  <r>
    <s v="RCV000261"/>
    <s v="PO000267"/>
    <d v="2025-02-21T00:00:00"/>
    <s v="M18"/>
    <x v="12"/>
    <s v="Bonding &amp; mold"/>
    <s v="gram"/>
    <s v="S16"/>
    <x v="9"/>
    <n v="7317048.0769999996"/>
    <n v="1297.5039999999999"/>
    <s v="Dimensional"/>
    <x v="2"/>
  </r>
  <r>
    <s v="RCV000262"/>
    <s v="PO000273"/>
    <d v="2025-02-20T00:00:00"/>
    <s v="M08"/>
    <x v="6"/>
    <s v="Wet chemicals"/>
    <s v="liter"/>
    <s v="S06"/>
    <x v="5"/>
    <n v="135928.05799999999"/>
    <n v="7.327"/>
    <s v="Damaged packaging"/>
    <x v="2"/>
  </r>
  <r>
    <s v="RCV000264"/>
    <s v="PO000250"/>
    <d v="2025-02-25T00:00:00"/>
    <s v="M16"/>
    <x v="20"/>
    <s v="Package substrates"/>
    <s v="each"/>
    <s v="S15"/>
    <x v="16"/>
    <n v="23309197.57"/>
    <n v="83172.762000000002"/>
    <s v="Purity out of spec"/>
    <x v="2"/>
  </r>
  <r>
    <s v="RCV000265"/>
    <s v="PO000272"/>
    <d v="2025-02-27T00:00:00"/>
    <s v="M07"/>
    <x v="8"/>
    <s v="Specialty gases"/>
    <s v="kg"/>
    <s v="S08"/>
    <x v="7"/>
    <n v="2760.4630000000002"/>
    <n v="0.223"/>
    <s v="Dimensional"/>
    <x v="2"/>
  </r>
  <r>
    <s v="RCV000266"/>
    <s v="PO000277"/>
    <d v="2025-02-25T00:00:00"/>
    <s v="M09"/>
    <x v="7"/>
    <s v="Wet chemicals"/>
    <s v="liter"/>
    <s v="S09"/>
    <x v="6"/>
    <n v="59969.837"/>
    <n v="26.206"/>
    <s v="Dimensional"/>
    <x v="2"/>
  </r>
  <r>
    <s v="RCV000267"/>
    <s v="PO000282"/>
    <d v="2025-03-02T00:00:00"/>
    <s v="M03"/>
    <x v="5"/>
    <s v="Wet chemicals"/>
    <s v="liter"/>
    <s v="S06"/>
    <x v="5"/>
    <n v="34563.953000000001"/>
    <n v="2.99"/>
    <s v="Damaged packaging"/>
    <x v="2"/>
  </r>
  <r>
    <s v="RCV000268"/>
    <s v="PO000288"/>
    <d v="2025-03-01T00:00:00"/>
    <s v="M21"/>
    <x v="4"/>
    <s v="Trays &amp; reels"/>
    <s v="each"/>
    <s v="S19"/>
    <x v="4"/>
    <n v="18776952.888"/>
    <n v="1084.0809999999999"/>
    <s v="Dimensional"/>
    <x v="2"/>
  </r>
  <r>
    <s v="RCV000269"/>
    <s v="PO000258"/>
    <d v="2025-03-04T00:00:00"/>
    <s v="M04"/>
    <x v="17"/>
    <s v="Specialty gases"/>
    <s v="cylinder"/>
    <s v="S05"/>
    <x v="13"/>
    <n v="121.009"/>
    <n v="4.1000000000000002E-2"/>
    <s v="Damaged packaging"/>
    <x v="2"/>
  </r>
  <r>
    <s v="RCV000270"/>
    <s v="PO000262"/>
    <d v="2025-03-05T00:00:00"/>
    <s v="M20"/>
    <x v="16"/>
    <s v="Underfill"/>
    <s v="kit"/>
    <s v="S18"/>
    <x v="12"/>
    <n v="60131.987000000001"/>
    <n v="4.2560000000000002"/>
    <s v="Certificate (COA) mismatch"/>
    <x v="2"/>
  </r>
  <r>
    <s v="RCV000271"/>
    <s v="PO000269"/>
    <d v="2025-03-04T00:00:00"/>
    <s v="M05"/>
    <x v="14"/>
    <s v="Specialty gases"/>
    <s v="kg"/>
    <s v="S08"/>
    <x v="7"/>
    <n v="20395.260999999999"/>
    <n v="0.35699999999999998"/>
    <s v="Dimensional"/>
    <x v="2"/>
  </r>
  <r>
    <s v="RCV000272"/>
    <s v="PO000270"/>
    <d v="2025-03-07T00:00:00"/>
    <s v="M06"/>
    <x v="15"/>
    <s v="Specialty gases"/>
    <s v="kg"/>
    <s v="S07"/>
    <x v="11"/>
    <n v="1588.595"/>
    <n v="2.4089999999999998"/>
    <s v="Purity out of spec"/>
    <x v="2"/>
  </r>
  <r>
    <s v="RCV000273"/>
    <s v="PO000278"/>
    <d v="2025-03-12T00:00:00"/>
    <s v="M10"/>
    <x v="9"/>
    <s v="CMP consumables"/>
    <s v="liter"/>
    <s v="S06"/>
    <x v="5"/>
    <n v="11520"/>
    <n v="6.1379999999999999"/>
    <s v="Dimensional"/>
    <x v="2"/>
  </r>
  <r>
    <s v="RCV000274"/>
    <s v="PO000260"/>
    <d v="2025-03-20T00:00:00"/>
    <s v="M13"/>
    <x v="19"/>
    <s v="ALD precursors"/>
    <s v="kg"/>
    <s v="S12"/>
    <x v="15"/>
    <n v="90.454999999999998"/>
    <n v="6.2E-2"/>
    <s v="Particle contamination"/>
    <x v="2"/>
  </r>
  <r>
    <s v="RCV000276"/>
    <s v="PO000276"/>
    <d v="2025-03-21T00:00:00"/>
    <s v="M01"/>
    <x v="13"/>
    <s v="Silicon wafers"/>
    <s v="wafer"/>
    <s v="S01"/>
    <x v="10"/>
    <n v="22687.91"/>
    <n v="4.5309999999999997"/>
    <s v="Purity out of spec"/>
    <x v="2"/>
  </r>
  <r>
    <s v="RCV000277"/>
    <s v="PO000284"/>
    <d v="2025-03-20T00:00:00"/>
    <s v="M11"/>
    <x v="10"/>
    <s v="CMP consumables"/>
    <s v="each"/>
    <s v="S10"/>
    <x v="8"/>
    <n v="230.4"/>
    <n v="7.5999999999999998E-2"/>
    <s v="Particle contamination"/>
    <x v="2"/>
  </r>
  <r>
    <s v="RCV000278"/>
    <s v="PO000286"/>
    <d v="2025-03-19T00:00:00"/>
    <s v="M17"/>
    <x v="11"/>
    <s v="Bonding &amp; mold"/>
    <s v="meter"/>
    <s v="S16"/>
    <x v="9"/>
    <n v="11235425.295"/>
    <n v="3272.078"/>
    <s v="Particle contamination"/>
    <x v="2"/>
  </r>
  <r>
    <s v="RCV000279"/>
    <s v="PO000287"/>
    <d v="2025-03-17T00:00:00"/>
    <s v="M18"/>
    <x v="12"/>
    <s v="Bonding &amp; mold"/>
    <s v="gram"/>
    <s v="S16"/>
    <x v="9"/>
    <n v="6553998.0889999997"/>
    <n v="8231.1450000000004"/>
    <s v="Particle contamination"/>
    <x v="2"/>
  </r>
  <r>
    <s v="RCV000280"/>
    <s v="PO000292"/>
    <d v="2025-03-19T00:00:00"/>
    <s v="M08"/>
    <x v="6"/>
    <s v="Wet chemicals"/>
    <s v="liter"/>
    <s v="S09"/>
    <x v="6"/>
    <n v="115207.327"/>
    <n v="139.749"/>
    <s v="Damaged packaging"/>
    <x v="2"/>
  </r>
  <r>
    <s v="RCV000282"/>
    <s v="PO000265"/>
    <d v="2025-03-26T00:00:00"/>
    <s v="M16"/>
    <x v="20"/>
    <s v="Package substrates"/>
    <s v="each"/>
    <s v="S15"/>
    <x v="16"/>
    <n v="20916751.839000002"/>
    <n v="5193.8580000000002"/>
    <s v="Certificate (COA) mismatch"/>
    <x v="2"/>
  </r>
  <r>
    <s v="RCV000284"/>
    <s v="PO000291"/>
    <d v="2025-03-24T00:00:00"/>
    <s v="M07"/>
    <x v="8"/>
    <s v="Specialty gases"/>
    <s v="kg"/>
    <s v="S08"/>
    <x v="7"/>
    <n v="2304.223"/>
    <n v="0.56000000000000005"/>
    <s v="Purity out of spec"/>
    <x v="2"/>
  </r>
  <r>
    <s v="RCV000285"/>
    <s v="PO000300"/>
    <d v="2025-03-30T00:00:00"/>
    <s v="M03"/>
    <x v="5"/>
    <s v="Wet chemicals"/>
    <s v="liter"/>
    <s v="S06"/>
    <x v="5"/>
    <n v="34562.99"/>
    <n v="24.140999999999998"/>
    <s v="Particle contamination"/>
    <x v="2"/>
  </r>
  <r>
    <s v="RCV000287"/>
    <s v="PO000289"/>
    <d v="2025-04-03T00:00:00"/>
    <s v="M05"/>
    <x v="14"/>
    <s v="Specialty gases"/>
    <s v="kg"/>
    <s v="S08"/>
    <x v="7"/>
    <n v="17280"/>
    <n v="8.4589999999999996"/>
    <s v="Dimensional"/>
    <x v="2"/>
  </r>
  <r>
    <s v="RCV000288"/>
    <s v="PO000290"/>
    <d v="2025-03-31T00:00:00"/>
    <s v="M06"/>
    <x v="15"/>
    <s v="Specialty gases"/>
    <s v="kg"/>
    <s v="S07"/>
    <x v="11"/>
    <n v="1474.232"/>
    <n v="0.17499999999999999"/>
    <s v="Purity out of spec"/>
    <x v="2"/>
  </r>
  <r>
    <s v="RCV000289"/>
    <s v="PO000311"/>
    <d v="2025-04-05T00:00:00"/>
    <s v="M21"/>
    <x v="4"/>
    <s v="Trays &amp; reels"/>
    <s v="each"/>
    <s v="S19"/>
    <x v="4"/>
    <n v="22235501.592"/>
    <n v="648.44600000000003"/>
    <s v="Certificate (COA) mismatch"/>
    <x v="2"/>
  </r>
  <r>
    <s v="RCV000291"/>
    <s v="PO000281"/>
    <d v="2025-04-07T00:00:00"/>
    <s v="M20"/>
    <x v="16"/>
    <s v="Underfill"/>
    <s v="kit"/>
    <s v="S18"/>
    <x v="12"/>
    <n v="52371.892999999996"/>
    <n v="53.698"/>
    <s v="Damaged packaging"/>
    <x v="2"/>
  </r>
  <r>
    <s v="RCV000292"/>
    <s v="PO000283"/>
    <d v="2025-04-10T00:00:00"/>
    <s v="M04"/>
    <x v="17"/>
    <s v="Specialty gases"/>
    <s v="cylinder"/>
    <s v="S05"/>
    <x v="13"/>
    <n v="142.59"/>
    <n v="0.35599999999999998"/>
    <s v="Particle contamination"/>
    <x v="2"/>
  </r>
  <r>
    <s v="RCV000293"/>
    <s v="PO000297"/>
    <d v="2025-04-08T00:00:00"/>
    <s v="M10"/>
    <x v="9"/>
    <s v="CMP consumables"/>
    <s v="liter"/>
    <s v="S06"/>
    <x v="5"/>
    <n v="11529.948"/>
    <n v="14.971"/>
    <s v="Purity out of spec"/>
    <x v="2"/>
  </r>
  <r>
    <s v="RCV000294"/>
    <s v="PO000302"/>
    <d v="2025-04-07T00:00:00"/>
    <s v="M09"/>
    <x v="7"/>
    <s v="Wet chemicals"/>
    <s v="liter"/>
    <s v="S09"/>
    <x v="6"/>
    <n v="59576.639999999999"/>
    <n v="5.25"/>
    <s v="Particle contamination"/>
    <x v="2"/>
  </r>
  <r>
    <s v="RCV000295"/>
    <s v="PO000319"/>
    <d v="2025-04-13T00:00:00"/>
    <s v="M20"/>
    <x v="16"/>
    <s v="Underfill"/>
    <s v="kit"/>
    <s v="S18"/>
    <x v="12"/>
    <n v="68534.494999999995"/>
    <n v="15.988"/>
    <s v="Certificate (COA) mismatch"/>
    <x v="2"/>
  </r>
  <r>
    <s v="RCV000296"/>
    <s v="PO000280"/>
    <d v="2025-04-15T00:00:00"/>
    <s v="M13"/>
    <x v="19"/>
    <s v="ALD precursors"/>
    <s v="kg"/>
    <s v="S12"/>
    <x v="15"/>
    <n v="76.846000000000004"/>
    <n v="8.3000000000000004E-2"/>
    <s v="Damaged packaging"/>
    <x v="2"/>
  </r>
  <r>
    <s v="RCV000298"/>
    <s v="PO000296"/>
    <d v="2025-04-16T00:00:00"/>
    <s v="M01"/>
    <x v="13"/>
    <s v="Silicon wafers"/>
    <s v="wafer"/>
    <s v="S02"/>
    <x v="17"/>
    <n v="19200"/>
    <n v="19.068999999999999"/>
    <s v="Damaged packaging"/>
    <x v="2"/>
  </r>
  <r>
    <s v="RCV000299"/>
    <s v="PO000303"/>
    <d v="2025-04-17T00:00:00"/>
    <s v="M11"/>
    <x v="10"/>
    <s v="CMP consumables"/>
    <s v="each"/>
    <s v="S10"/>
    <x v="8"/>
    <n v="230.41800000000001"/>
    <n v="0.10299999999999999"/>
    <s v="Purity out of spec"/>
    <x v="2"/>
  </r>
  <r>
    <s v="RCV000300"/>
    <s v="PO000309"/>
    <d v="2025-04-20T00:00:00"/>
    <s v="M17"/>
    <x v="11"/>
    <s v="Bonding &amp; mold"/>
    <s v="meter"/>
    <s v="S18"/>
    <x v="12"/>
    <n v="13304760.812000001"/>
    <n v="865.85599999999999"/>
    <s v="Purity out of spec"/>
    <x v="2"/>
  </r>
  <r>
    <s v="RCV000301"/>
    <s v="PO000313"/>
    <d v="2025-04-17T00:00:00"/>
    <s v="M08"/>
    <x v="6"/>
    <s v="Wet chemicals"/>
    <s v="liter"/>
    <s v="S06"/>
    <x v="5"/>
    <n v="111482.693"/>
    <n v="6.9980000000000002"/>
    <s v="Damaged packaging"/>
    <x v="2"/>
  </r>
  <r>
    <s v="RCV000303"/>
    <s v="PO000285"/>
    <d v="2025-04-25T00:00:00"/>
    <s v="M16"/>
    <x v="20"/>
    <s v="Package substrates"/>
    <s v="each"/>
    <s v="S16"/>
    <x v="9"/>
    <n v="18725708.824999999"/>
    <n v="25360.171999999999"/>
    <s v="Damaged packaging"/>
    <x v="2"/>
  </r>
  <r>
    <s v="RCV000304"/>
    <s v="PO000307"/>
    <d v="2025-04-27T00:00:00"/>
    <s v="M05"/>
    <x v="14"/>
    <s v="Specialty gases"/>
    <s v="kg"/>
    <s v="S08"/>
    <x v="7"/>
    <n v="17280.357"/>
    <n v="24.81"/>
    <s v="Certificate (COA) mismatch"/>
    <x v="2"/>
  </r>
  <r>
    <s v="RCV000305"/>
    <s v="PO000310"/>
    <d v="2025-04-23T00:00:00"/>
    <s v="M18"/>
    <x v="12"/>
    <s v="Bonding &amp; mold"/>
    <s v="gram"/>
    <s v="S16"/>
    <x v="9"/>
    <n v="7762572.9100000001"/>
    <n v="280.88299999999998"/>
    <s v="Dimensional"/>
    <x v="2"/>
  </r>
  <r>
    <s v="RCV000306"/>
    <s v="PO000312"/>
    <d v="2025-04-22T00:00:00"/>
    <s v="M07"/>
    <x v="8"/>
    <s v="Specialty gases"/>
    <s v="kg"/>
    <s v="S08"/>
    <x v="7"/>
    <n v="2304.56"/>
    <n v="0.106"/>
    <s v="Damaged packaging"/>
    <x v="2"/>
  </r>
  <r>
    <s v="RCV000308"/>
    <s v="PO000299"/>
    <d v="2025-05-01T00:00:00"/>
    <s v="M20"/>
    <x v="16"/>
    <s v="Underfill"/>
    <s v="kit"/>
    <s v="S18"/>
    <x v="12"/>
    <n v="59907.845000000001"/>
    <n v="0.90400000000000003"/>
    <s v="Certificate (COA) mismatch"/>
    <x v="2"/>
  </r>
  <r>
    <s v="RCV000309"/>
    <s v="PO000301"/>
    <d v="2025-05-04T00:00:00"/>
    <s v="M04"/>
    <x v="17"/>
    <s v="Specialty gases"/>
    <s v="cylinder"/>
    <s v="S05"/>
    <x v="13"/>
    <n v="115.265"/>
    <n v="0.73499999999999999"/>
    <s v="Dimensional"/>
    <x v="2"/>
  </r>
  <r>
    <s v="RCV000310"/>
    <s v="PO000308"/>
    <d v="2025-05-02T00:00:00"/>
    <s v="M06"/>
    <x v="15"/>
    <s v="Specialty gases"/>
    <s v="kg"/>
    <s v="S07"/>
    <x v="11"/>
    <n v="1541.6210000000001"/>
    <n v="8.9999999999999993E-3"/>
    <s v="Dimensional"/>
    <x v="2"/>
  </r>
  <r>
    <s v="RCV000312"/>
    <s v="PO000316"/>
    <d v="2025-05-06T00:00:00"/>
    <s v="M10"/>
    <x v="9"/>
    <s v="CMP consumables"/>
    <s v="liter"/>
    <s v="S06"/>
    <x v="5"/>
    <n v="11526.138000000001"/>
    <n v="1.5409999999999999"/>
    <s v="Certificate (COA) mismatch"/>
    <x v="2"/>
  </r>
  <r>
    <s v="RCV000313"/>
    <s v="PO000320"/>
    <d v="2025-05-06T00:00:00"/>
    <s v="M03"/>
    <x v="5"/>
    <s v="Wet chemicals"/>
    <s v="liter"/>
    <s v="S09"/>
    <x v="6"/>
    <n v="43179.141000000003"/>
    <n v="3.9159999999999999"/>
    <s v="Dimensional"/>
    <x v="2"/>
  </r>
  <r>
    <s v="RCV000314"/>
    <s v="PO000323"/>
    <d v="2025-05-08T00:00:00"/>
    <s v="M09"/>
    <x v="7"/>
    <s v="Wet chemicals"/>
    <s v="liter"/>
    <s v="S09"/>
    <x v="6"/>
    <n v="55800.614000000001"/>
    <n v="41.162999999999997"/>
    <s v="Particle contamination"/>
    <x v="2"/>
  </r>
  <r>
    <s v="RCV000315"/>
    <s v="PO000332"/>
    <d v="2025-05-11T00:00:00"/>
    <s v="M21"/>
    <x v="4"/>
    <s v="Trays &amp; reels"/>
    <s v="each"/>
    <s v="S16"/>
    <x v="9"/>
    <n v="22267196.140999999"/>
    <n v="10770.607"/>
    <s v="Purity out of spec"/>
    <x v="2"/>
  </r>
  <r>
    <s v="RCV000317"/>
    <s v="PO000298"/>
    <d v="2025-05-14T00:00:00"/>
    <s v="M13"/>
    <x v="19"/>
    <s v="ALD precursors"/>
    <s v="kg"/>
    <s v="S12"/>
    <x v="15"/>
    <n v="76.8"/>
    <n v="0.17299999999999999"/>
    <s v="Certificate (COA) mismatch"/>
    <x v="2"/>
  </r>
  <r>
    <s v="RCV000319"/>
    <s v="PO000315"/>
    <d v="2025-05-12T00:00:00"/>
    <s v="M01"/>
    <x v="13"/>
    <s v="Silicon wafers"/>
    <s v="wafer"/>
    <s v="S02"/>
    <x v="17"/>
    <n v="19204.530999999999"/>
    <n v="23.242000000000001"/>
    <s v="Purity out of spec"/>
    <x v="2"/>
  </r>
  <r>
    <s v="RCV000321"/>
    <s v="PO000329"/>
    <d v="2025-05-16T00:00:00"/>
    <s v="M08"/>
    <x v="6"/>
    <s v="Wet chemicals"/>
    <s v="liter"/>
    <s v="S06"/>
    <x v="5"/>
    <n v="118914.054"/>
    <n v="4.6909999999999998"/>
    <s v="Particle contamination"/>
    <x v="2"/>
  </r>
  <r>
    <s v="RCV000322"/>
    <s v="PO000305"/>
    <d v="2025-05-20T00:00:00"/>
    <s v="M16"/>
    <x v="20"/>
    <s v="Package substrates"/>
    <s v="each"/>
    <s v="S16"/>
    <x v="9"/>
    <n v="18769983.263999999"/>
    <n v="35188.832000000002"/>
    <s v="Particle contamination"/>
    <x v="2"/>
  </r>
  <r>
    <s v="RCV000324"/>
    <s v="PO000324"/>
    <d v="2025-05-21T00:00:00"/>
    <s v="M11"/>
    <x v="10"/>
    <s v="CMP consumables"/>
    <s v="each"/>
    <s v="S10"/>
    <x v="8"/>
    <n v="287.87900000000002"/>
    <n v="0.66500000000000004"/>
    <s v="Particle contamination"/>
    <x v="2"/>
  </r>
  <r>
    <s v="RCV000325"/>
    <s v="PO000330"/>
    <d v="2025-05-25T00:00:00"/>
    <s v="M17"/>
    <x v="11"/>
    <s v="Bonding &amp; mold"/>
    <s v="meter"/>
    <s v="S18"/>
    <x v="12"/>
    <n v="13301924.959000001"/>
    <n v="2960.2979999999998"/>
    <s v="Certificate (COA) mismatch"/>
    <x v="2"/>
  </r>
  <r>
    <s v="RCV000326"/>
    <s v="PO000331"/>
    <d v="2025-05-26T00:00:00"/>
    <s v="M18"/>
    <x v="12"/>
    <s v="Bonding &amp; mold"/>
    <s v="gram"/>
    <s v="S16"/>
    <x v="9"/>
    <n v="7759232.0259999996"/>
    <n v="2501.8020000000001"/>
    <s v="Particle contamination"/>
    <x v="2"/>
  </r>
  <r>
    <s v="RCV000327"/>
    <s v="PO000333"/>
    <d v="2025-05-26T00:00:00"/>
    <s v="M07"/>
    <x v="8"/>
    <s v="Specialty gases"/>
    <s v="kg"/>
    <s v="S08"/>
    <x v="7"/>
    <n v="2877.1060000000002"/>
    <n v="2.972"/>
    <s v="Dimensional"/>
    <x v="2"/>
  </r>
  <r>
    <s v="RCV000328"/>
    <s v="PO000322"/>
    <d v="2025-06-03T00:00:00"/>
    <s v="M06"/>
    <x v="15"/>
    <s v="Specialty gases"/>
    <s v="kg"/>
    <s v="S07"/>
    <x v="11"/>
    <n v="1598.1410000000001"/>
    <n v="1.82"/>
    <s v="Damaged packaging"/>
    <x v="2"/>
  </r>
  <r>
    <s v="RCV000329"/>
    <s v="PO000328"/>
    <d v="2025-06-04T00:00:00"/>
    <s v="M05"/>
    <x v="14"/>
    <s v="Specialty gases"/>
    <s v="kg"/>
    <s v="S07"/>
    <x v="11"/>
    <n v="21610.769"/>
    <n v="31.959"/>
    <s v="Purity out of spec"/>
    <x v="2"/>
  </r>
  <r>
    <s v="RCV000330"/>
    <s v="PO000340"/>
    <d v="2025-06-05T00:00:00"/>
    <s v="M03"/>
    <x v="5"/>
    <s v="Wet chemicals"/>
    <s v="liter"/>
    <s v="S09"/>
    <x v="6"/>
    <n v="34563.915999999997"/>
    <n v="20.428000000000001"/>
    <s v="Purity out of spec"/>
    <x v="2"/>
  </r>
  <r>
    <s v="RCV000331"/>
    <s v="PO000341"/>
    <d v="2025-06-04T00:00:00"/>
    <s v="M09"/>
    <x v="7"/>
    <s v="Wet chemicals"/>
    <s v="liter"/>
    <s v="S09"/>
    <x v="6"/>
    <n v="48041.163"/>
    <n v="9.9220000000000006"/>
    <s v="Particle contamination"/>
    <x v="2"/>
  </r>
  <r>
    <s v="RCV000332"/>
    <s v="PO000317"/>
    <d v="2025-06-15T00:00:00"/>
    <s v="M13"/>
    <x v="19"/>
    <s v="ALD precursors"/>
    <s v="kg"/>
    <s v="S12"/>
    <x v="15"/>
    <n v="76.861999999999995"/>
    <n v="0.13400000000000001"/>
    <s v="Particle contamination"/>
    <x v="2"/>
  </r>
  <r>
    <s v="RCV000333"/>
    <s v="PO000321"/>
    <d v="2025-06-13T00:00:00"/>
    <s v="M04"/>
    <x v="17"/>
    <s v="Specialty gases"/>
    <s v="cylinder"/>
    <s v="S05"/>
    <x v="13"/>
    <n v="120.36"/>
    <n v="0.20899999999999999"/>
    <s v="Damaged packaging"/>
    <x v="2"/>
  </r>
  <r>
    <s v="RCV000334"/>
    <s v="PO000327"/>
    <d v="2025-06-11T00:00:00"/>
    <s v="M20"/>
    <x v="16"/>
    <s v="Underfill"/>
    <s v="kit"/>
    <s v="S18"/>
    <x v="12"/>
    <n v="59353.279000000002"/>
    <n v="11.847"/>
    <s v="Certificate (COA) mismatch"/>
    <x v="2"/>
  </r>
  <r>
    <s v="RCV000335"/>
    <s v="PO000336"/>
    <d v="2025-06-15T00:00:00"/>
    <s v="M10"/>
    <x v="9"/>
    <s v="CMP consumables"/>
    <s v="liter"/>
    <s v="S06"/>
    <x v="5"/>
    <n v="14401.512000000001"/>
    <n v="0.54"/>
    <s v="Certificate (COA) mismatch"/>
    <x v="2"/>
  </r>
  <r>
    <s v="RCV000336"/>
    <s v="PO000352"/>
    <d v="2025-06-09T00:00:00"/>
    <s v="M21"/>
    <x v="4"/>
    <s v="Trays &amp; reels"/>
    <s v="each"/>
    <s v="S16"/>
    <x v="9"/>
    <n v="22463747.852000002"/>
    <n v="5380.35"/>
    <s v="Dimensional"/>
    <x v="2"/>
  </r>
  <r>
    <s v="RCV000339"/>
    <s v="PO000335"/>
    <d v="2025-06-19T00:00:00"/>
    <s v="M01"/>
    <x v="13"/>
    <s v="Silicon wafers"/>
    <s v="wafer"/>
    <s v="S01"/>
    <x v="10"/>
    <n v="23994.069"/>
    <n v="5.4"/>
    <s v="Purity out of spec"/>
    <x v="2"/>
  </r>
  <r>
    <s v="RCV000340"/>
    <s v="PO000347"/>
    <d v="2025-06-18T00:00:00"/>
    <s v="M08"/>
    <x v="6"/>
    <s v="Wet chemicals"/>
    <s v="liter"/>
    <s v="S06"/>
    <x v="5"/>
    <n v="143704.69099999999"/>
    <n v="12.268000000000001"/>
    <s v="Dimensional"/>
    <x v="2"/>
  </r>
  <r>
    <s v="RCV000341"/>
    <s v="PO000326"/>
    <d v="2025-06-24T00:00:00"/>
    <s v="M16"/>
    <x v="20"/>
    <s v="Package substrates"/>
    <s v="each"/>
    <s v="S16"/>
    <x v="9"/>
    <n v="21462543.067000002"/>
    <n v="4701.5150000000003"/>
    <s v="Damaged packaging"/>
    <x v="2"/>
  </r>
  <r>
    <s v="RCV000342"/>
    <s v="PO000342"/>
    <d v="2025-06-25T00:00:00"/>
    <s v="M11"/>
    <x v="10"/>
    <s v="CMP consumables"/>
    <s v="each"/>
    <s v="S10"/>
    <x v="8"/>
    <n v="230.4"/>
    <n v="0.16900000000000001"/>
    <s v="Certificate (COA) mismatch"/>
    <x v="2"/>
  </r>
  <r>
    <s v="RCV000343"/>
    <s v="PO000349"/>
    <d v="2025-06-29T00:00:00"/>
    <s v="M17"/>
    <x v="11"/>
    <s v="Bonding &amp; mold"/>
    <s v="meter"/>
    <s v="S18"/>
    <x v="12"/>
    <n v="13414147.168"/>
    <n v="4184.799"/>
    <s v="Purity out of spec"/>
    <x v="2"/>
  </r>
  <r>
    <s v="RCV000345"/>
    <s v="PO000339"/>
    <d v="2025-07-02T00:00:00"/>
    <s v="M20"/>
    <x v="16"/>
    <s v="Underfill"/>
    <s v="kit"/>
    <s v="S18"/>
    <x v="12"/>
    <n v="63040.12"/>
    <n v="8.5980000000000008"/>
    <s v="Particle contamination"/>
    <x v="2"/>
  </r>
  <r>
    <s v="RCV000346"/>
    <s v="PO000344"/>
    <d v="2025-07-01T00:00:00"/>
    <s v="M06"/>
    <x v="15"/>
    <s v="Specialty gases"/>
    <s v="kg"/>
    <s v="S07"/>
    <x v="11"/>
    <n v="1914.4580000000001"/>
    <n v="2.7250000000000001"/>
    <s v="Purity out of spec"/>
    <x v="2"/>
  </r>
  <r>
    <s v="RCV000347"/>
    <s v="PO000350"/>
    <d v="2025-06-30T00:00:00"/>
    <s v="M18"/>
    <x v="12"/>
    <s v="Bonding &amp; mold"/>
    <s v="gram"/>
    <s v="S16"/>
    <x v="9"/>
    <n v="7825694.1430000002"/>
    <n v="11053.164000000001"/>
    <s v="Certificate (COA) mismatch"/>
    <x v="2"/>
  </r>
  <r>
    <s v="RCV000348"/>
    <s v="PO000353"/>
    <d v="2025-07-01T00:00:00"/>
    <s v="M07"/>
    <x v="8"/>
    <s v="Specialty gases"/>
    <s v="kg"/>
    <s v="S08"/>
    <x v="7"/>
    <n v="2873.9720000000002"/>
    <n v="0.152"/>
    <s v="Purity out of spec"/>
    <x v="2"/>
  </r>
  <r>
    <s v="RCV000349"/>
    <s v="PO000359"/>
    <d v="2025-07-07T00:00:00"/>
    <s v="M03"/>
    <x v="5"/>
    <s v="Wet chemicals"/>
    <s v="liter"/>
    <s v="S09"/>
    <x v="6"/>
    <n v="43040.428"/>
    <n v="11.324"/>
    <s v="Dimensional"/>
    <x v="2"/>
  </r>
  <r>
    <s v="RCV000350"/>
    <s v="PO000360"/>
    <d v="2025-07-07T00:00:00"/>
    <s v="M09"/>
    <x v="7"/>
    <s v="Wet chemicals"/>
    <s v="liter"/>
    <s v="S09"/>
    <x v="6"/>
    <n v="59759.921999999999"/>
    <n v="64.105000000000004"/>
    <s v="Purity out of spec"/>
    <x v="2"/>
  </r>
  <r>
    <s v="RCV000351"/>
    <s v="PO000337"/>
    <d v="2025-07-15T00:00:00"/>
    <s v="M13"/>
    <x v="19"/>
    <s v="ALD precursors"/>
    <s v="kg"/>
    <s v="S12"/>
    <x v="15"/>
    <n v="83.054000000000002"/>
    <n v="0.23300000000000001"/>
    <s v="Dimensional"/>
    <x v="2"/>
  </r>
  <r>
    <s v="RCV000352"/>
    <s v="PO000343"/>
    <d v="2025-07-14T00:00:00"/>
    <s v="M04"/>
    <x v="17"/>
    <s v="Specialty gases"/>
    <s v="cylinder"/>
    <s v="S05"/>
    <x v="13"/>
    <n v="143.50299999999999"/>
    <n v="0.214"/>
    <s v="Purity out of spec"/>
    <x v="2"/>
  </r>
  <r>
    <s v="RCV000354"/>
    <s v="PO000346"/>
    <d v="2025-07-17T00:00:00"/>
    <s v="M05"/>
    <x v="14"/>
    <s v="Specialty gases"/>
    <s v="kg"/>
    <s v="S08"/>
    <x v="7"/>
    <n v="21555"/>
    <n v="2.552"/>
    <s v="Certificate (COA) mismatch"/>
    <x v="2"/>
  </r>
  <r>
    <s v="RCV000355"/>
    <s v="PO000356"/>
    <d v="2025-07-18T00:00:00"/>
    <s v="M10"/>
    <x v="9"/>
    <s v="CMP consumables"/>
    <s v="liter"/>
    <s v="S06"/>
    <x v="5"/>
    <n v="14340.54"/>
    <n v="5.0999999999999997E-2"/>
    <s v="Purity out of spec"/>
    <x v="2"/>
  </r>
  <r>
    <s v="RCV000356"/>
    <s v="PO000372"/>
    <d v="2025-07-15T00:00:00"/>
    <s v="M21"/>
    <x v="4"/>
    <s v="Trays &amp; reels"/>
    <s v="each"/>
    <s v="S16"/>
    <x v="9"/>
    <n v="22978013.620000001"/>
    <n v="19073.582999999999"/>
    <s v="Purity out of spec"/>
    <x v="2"/>
  </r>
  <r>
    <s v="RCV000357"/>
    <s v="PO000351"/>
    <d v="2025-07-21T00:00:00"/>
    <s v="M20"/>
    <x v="16"/>
    <s v="Underfill"/>
    <s v="kit"/>
    <s v="S18"/>
    <x v="12"/>
    <n v="60888.012999999999"/>
    <n v="56.685000000000002"/>
    <s v="Certificate (COA) mismatch"/>
    <x v="2"/>
  </r>
  <r>
    <s v="RCV000358"/>
    <s v="PO000355"/>
    <d v="2025-07-22T00:00:00"/>
    <s v="M01"/>
    <x v="13"/>
    <s v="Silicon wafers"/>
    <s v="wafer"/>
    <s v="S02"/>
    <x v="17"/>
    <n v="23923.241999999998"/>
    <n v="20.282"/>
    <s v="Certificate (COA) mismatch"/>
    <x v="2"/>
  </r>
  <r>
    <s v="RCV000360"/>
    <s v="PO000361"/>
    <d v="2025-07-22T00:00:00"/>
    <s v="M11"/>
    <x v="10"/>
    <s v="CMP consumables"/>
    <s v="each"/>
    <s v="S10"/>
    <x v="8"/>
    <n v="287.46499999999997"/>
    <n v="5.5E-2"/>
    <s v="Certificate (COA) mismatch"/>
    <x v="2"/>
  </r>
  <r>
    <s v="RCV000361"/>
    <s v="PO000368"/>
    <d v="2025-07-24T00:00:00"/>
    <s v="M08"/>
    <x v="6"/>
    <s v="Wet chemicals"/>
    <s v="liter"/>
    <s v="S06"/>
    <x v="5"/>
    <n v="142362.26800000001"/>
    <n v="20.315000000000001"/>
    <s v="Certificate (COA) mismatch"/>
    <x v="2"/>
  </r>
  <r>
    <s v="RCV000362"/>
    <s v="PO000371"/>
    <d v="2025-08-03T00:00:00"/>
    <s v="M18"/>
    <x v="12"/>
    <s v="Bonding &amp; mold"/>
    <s v="gram"/>
    <s v="S16"/>
    <x v="9"/>
    <n v="8017352.0599999996"/>
    <n v="1548.84"/>
    <s v="Particle contamination"/>
    <x v="2"/>
  </r>
  <r>
    <s v="RCV000363"/>
    <s v="PO000363"/>
    <d v="2025-08-07T00:00:00"/>
    <s v="M06"/>
    <x v="15"/>
    <s v="Specialty gases"/>
    <s v="kg"/>
    <s v="S07"/>
    <x v="11"/>
    <n v="1750.481"/>
    <n v="2.7650000000000001"/>
    <s v="Damaged packaging"/>
    <x v="2"/>
  </r>
  <r>
    <s v="RCV000364"/>
    <s v="PO000370"/>
    <d v="2025-08-04T00:00:00"/>
    <s v="M17"/>
    <x v="11"/>
    <s v="Bonding &amp; mold"/>
    <s v="meter"/>
    <s v="S18"/>
    <x v="12"/>
    <n v="13729268.622"/>
    <n v="152.11600000000001"/>
    <s v="Particle contamination"/>
    <x v="2"/>
  </r>
  <r>
    <s v="RCV000365"/>
    <s v="PO000373"/>
    <d v="2025-08-04T00:00:00"/>
    <s v="M07"/>
    <x v="8"/>
    <s v="Specialty gases"/>
    <s v="kg"/>
    <s v="S08"/>
    <x v="7"/>
    <n v="2850.152"/>
    <n v="0.82799999999999996"/>
    <s v="Purity out of spec"/>
    <x v="2"/>
  </r>
  <r>
    <s v="RCV000366"/>
    <s v="PO000348"/>
    <d v="2025-08-17T00:00:00"/>
    <s v="M16"/>
    <x v="20"/>
    <s v="Package substrates"/>
    <s v="each"/>
    <s v="S15"/>
    <x v="16"/>
    <n v="21654680.019000001"/>
    <n v="56915.303"/>
    <s v="Particle contamination"/>
    <x v="2"/>
  </r>
  <r>
    <s v="RCV000368"/>
    <s v="PO000362"/>
    <d v="2025-08-12T00:00:00"/>
    <s v="M20"/>
    <x v="16"/>
    <s v="Underfill"/>
    <s v="kit"/>
    <s v="S18"/>
    <x v="12"/>
    <n v="56303.362999999998"/>
    <n v="38.835999999999999"/>
    <s v="Dimensional"/>
    <x v="2"/>
  </r>
  <r>
    <s v="RCV000369"/>
    <s v="PO000367"/>
    <d v="2025-08-11T00:00:00"/>
    <s v="M05"/>
    <x v="14"/>
    <s v="Specialty gases"/>
    <s v="kg"/>
    <s v="S08"/>
    <x v="7"/>
    <n v="21384.458999999999"/>
    <n v="16.146999999999998"/>
    <s v="Certificate (COA) mismatch"/>
    <x v="2"/>
  </r>
  <r>
    <s v="RCV000370"/>
    <s v="PO000379"/>
    <d v="2025-08-11T00:00:00"/>
    <s v="M03"/>
    <x v="5"/>
    <s v="Wet chemicals"/>
    <s v="liter"/>
    <s v="S06"/>
    <x v="5"/>
    <n v="42716.324000000001"/>
    <n v="7.859"/>
    <s v="Purity out of spec"/>
    <x v="2"/>
  </r>
  <r>
    <s v="RCV000371"/>
    <s v="PO000380"/>
    <d v="2025-08-12T00:00:00"/>
    <s v="M09"/>
    <x v="7"/>
    <s v="Wet chemicals"/>
    <s v="liter"/>
    <s v="S09"/>
    <x v="6"/>
    <n v="59638.894"/>
    <n v="24.422999999999998"/>
    <s v="Damaged packaging"/>
    <x v="2"/>
  </r>
  <r>
    <s v="RCV000372"/>
    <s v="PO000357"/>
    <d v="2025-08-18T00:00:00"/>
    <s v="M13"/>
    <x v="19"/>
    <s v="ALD precursors"/>
    <s v="kg"/>
    <s v="S12"/>
    <x v="15"/>
    <n v="95.906999999999996"/>
    <n v="5.0000000000000001E-3"/>
    <s v="Particle contamination"/>
    <x v="2"/>
  </r>
  <r>
    <s v="RCV000373"/>
    <s v="PO000376"/>
    <d v="2025-08-22T00:00:00"/>
    <s v="M10"/>
    <x v="9"/>
    <s v="CMP consumables"/>
    <s v="liter"/>
    <s v="S06"/>
    <x v="5"/>
    <n v="14250.050999999999"/>
    <n v="3.9409999999999998"/>
    <s v="Particle contamination"/>
    <x v="2"/>
  </r>
  <r>
    <s v="RCV000374"/>
    <s v="PO000395"/>
    <d v="2025-08-18T00:00:00"/>
    <s v="M21"/>
    <x v="4"/>
    <s v="Trays &amp; reels"/>
    <s v="each"/>
    <s v="S16"/>
    <x v="9"/>
    <n v="18030841.170000002"/>
    <n v="22509.192999999999"/>
    <s v="Dimensional"/>
    <x v="2"/>
  </r>
  <r>
    <s v="RCV000376"/>
    <s v="PO000366"/>
    <d v="2025-08-28T00:00:00"/>
    <s v="M04"/>
    <x v="17"/>
    <s v="Specialty gases"/>
    <s v="cylinder"/>
    <s v="S05"/>
    <x v="13"/>
    <n v="126.215"/>
    <n v="0.28899999999999998"/>
    <s v="Certificate (COA) mismatch"/>
    <x v="2"/>
  </r>
  <r>
    <s v="RCV000377"/>
    <s v="PO000381"/>
    <d v="2025-08-26T00:00:00"/>
    <s v="M11"/>
    <x v="10"/>
    <s v="CMP consumables"/>
    <s v="each"/>
    <s v="S10"/>
    <x v="8"/>
    <n v="284.92399999999998"/>
    <n v="0.314"/>
    <s v="Particle contamination"/>
    <x v="2"/>
  </r>
  <r>
    <s v="RCV000378"/>
    <s v="PO000387"/>
    <d v="2025-08-27T00:00:00"/>
    <s v="M02"/>
    <x v="18"/>
    <s v="Photoresist"/>
    <s v="liter"/>
    <s v="S04"/>
    <x v="18"/>
    <n v="840"/>
    <n v="4.0000000000000001E-3"/>
    <s v="Damaged packaging"/>
    <x v="2"/>
  </r>
  <r>
    <s v="RCV000379"/>
    <s v="PO000390"/>
    <d v="2025-08-29T00:00:00"/>
    <s v="M08"/>
    <x v="6"/>
    <s v="Wet chemicals"/>
    <s v="liter"/>
    <s v="S06"/>
    <x v="5"/>
    <n v="143720.315"/>
    <n v="82.236999999999995"/>
    <s v="Dimensional"/>
    <x v="2"/>
  </r>
  <r>
    <s v="RCV000380"/>
    <s v="PO000374"/>
    <d v="2025-09-01T00:00:00"/>
    <s v="M20"/>
    <x v="16"/>
    <s v="Underfill"/>
    <s v="kit"/>
    <s v="S18"/>
    <x v="12"/>
    <n v="56351.415999999997"/>
    <n v="5.2080000000000002"/>
    <s v="Dimensional"/>
    <x v="2"/>
  </r>
  <r>
    <s v="RCV000381"/>
    <s v="PO000375"/>
    <d v="2025-09-02T00:00:00"/>
    <s v="M01"/>
    <x v="13"/>
    <s v="Silicon wafers"/>
    <s v="wafer"/>
    <s v="S02"/>
    <x v="17"/>
    <n v="23755.4"/>
    <n v="23.173999999999999"/>
    <s v="Purity out of spec"/>
    <x v="2"/>
  </r>
  <r>
    <s v="RCV000383"/>
    <s v="PO000369"/>
    <d v="2025-09-08T00:00:00"/>
    <s v="M16"/>
    <x v="20"/>
    <s v="Package substrates"/>
    <s v="each"/>
    <s v="S16"/>
    <x v="9"/>
    <n v="22879841.217999998"/>
    <n v="8149.55"/>
    <s v="Particle contamination"/>
    <x v="2"/>
  </r>
  <r>
    <s v="RCV000384"/>
    <s v="PO000384"/>
    <d v="2025-09-09T00:00:00"/>
    <s v="M06"/>
    <x v="15"/>
    <s v="Specialty gases"/>
    <s v="kg"/>
    <s v="S07"/>
    <x v="11"/>
    <n v="1906.7249999999999"/>
    <n v="0.84"/>
    <s v="Certificate (COA) mismatch"/>
    <x v="2"/>
  </r>
  <r>
    <s v="RCV000385"/>
    <s v="PO000392"/>
    <d v="2025-09-09T00:00:00"/>
    <s v="M17"/>
    <x v="11"/>
    <s v="Bonding &amp; mold"/>
    <s v="meter"/>
    <s v="S16"/>
    <x v="9"/>
    <n v="12733598.880999999"/>
    <n v="6482.6189999999997"/>
    <s v="Purity out of spec"/>
    <x v="2"/>
  </r>
  <r>
    <s v="RCV000386"/>
    <s v="PO000393"/>
    <d v="2025-09-09T00:00:00"/>
    <s v="M18"/>
    <x v="12"/>
    <s v="Bonding &amp; mold"/>
    <s v="gram"/>
    <s v="S16"/>
    <x v="9"/>
    <n v="7429392.7869999995"/>
    <n v="646.17100000000005"/>
    <s v="Certificate (COA) mismatch"/>
    <x v="2"/>
  </r>
  <r>
    <s v="RCV000387"/>
    <s v="PO000389"/>
    <d v="2025-09-17T00:00:00"/>
    <s v="M05"/>
    <x v="14"/>
    <s v="Specialty gases"/>
    <s v="kg"/>
    <s v="S08"/>
    <x v="7"/>
    <n v="21557.552"/>
    <n v="2.8159999999999998"/>
    <s v="Particle contamination"/>
    <x v="2"/>
  </r>
  <r>
    <s v="RCV000388"/>
    <s v="PO000406"/>
    <d v="2025-09-16T00:00:00"/>
    <s v="M21"/>
    <x v="4"/>
    <s v="Trays &amp; reels"/>
    <s v="each"/>
    <s v="S19"/>
    <x v="4"/>
    <n v="21771820.098999999"/>
    <n v="2162.92"/>
    <s v="Damaged packaging"/>
    <x v="2"/>
  </r>
  <r>
    <s v="RCV000389"/>
    <s v="PO000377"/>
    <d v="2025-09-23T00:00:00"/>
    <s v="M13"/>
    <x v="19"/>
    <s v="ALD precursors"/>
    <s v="kg"/>
    <s v="S12"/>
    <x v="15"/>
    <n v="108.16200000000001"/>
    <n v="4.7E-2"/>
    <s v="Damaged packaging"/>
    <x v="2"/>
  </r>
  <r>
    <s v="RCV000390"/>
    <s v="PO000386"/>
    <d v="2025-09-25T00:00:00"/>
    <s v="M20"/>
    <x v="16"/>
    <s v="Underfill"/>
    <s v="kit"/>
    <s v="S18"/>
    <x v="12"/>
    <n v="64132.048999999999"/>
    <n v="34.625"/>
    <s v="Damaged packaging"/>
    <x v="2"/>
  </r>
  <r>
    <s v="RCV000391"/>
    <s v="PO000397"/>
    <d v="2025-09-25T00:00:00"/>
    <s v="M07"/>
    <x v="8"/>
    <s v="Specialty gases"/>
    <s v="kg"/>
    <s v="S08"/>
    <x v="7"/>
    <n v="2871.828"/>
    <n v="1.1080000000000001"/>
    <s v="Damaged packaging"/>
    <x v="2"/>
  </r>
  <r>
    <s v="RCV000392"/>
    <s v="PO000410"/>
    <d v="2025-09-25T00:00:00"/>
    <s v="M20"/>
    <x v="16"/>
    <s v="Underfill"/>
    <s v="kit"/>
    <s v="S18"/>
    <x v="12"/>
    <n v="61388.616000000002"/>
    <n v="5.3280000000000003"/>
    <s v="Certificate (COA) mismatch"/>
    <x v="2"/>
  </r>
  <r>
    <s v="RCV000394"/>
    <s v="PO000388"/>
    <d v="2025-09-30T00:00:00"/>
    <s v="M04"/>
    <x v="17"/>
    <s v="Specialty gases"/>
    <s v="cylinder"/>
    <s v="S05"/>
    <x v="13"/>
    <n v="143.91399999999999"/>
    <n v="0.31"/>
    <s v="Damaged packaging"/>
    <x v="2"/>
  </r>
  <r>
    <s v="RCV000395"/>
    <s v="PO000407"/>
    <d v="2025-10-01T00:00:00"/>
    <s v="M03"/>
    <x v="5"/>
    <s v="Wet chemicals"/>
    <s v="liter"/>
    <s v="S06"/>
    <x v="5"/>
    <n v="42847.858999999997"/>
    <n v="0.37"/>
    <s v="Damaged packaging"/>
    <x v="2"/>
  </r>
  <r>
    <s v="RCV000396"/>
    <s v="PO000408"/>
    <d v="2025-10-01T00:00:00"/>
    <s v="M09"/>
    <x v="7"/>
    <s v="Wet chemicals"/>
    <s v="liter"/>
    <s v="S09"/>
    <x v="6"/>
    <n v="59633.184000000001"/>
    <n v="0.74"/>
    <s v="Certificate (COA) mismatch"/>
    <x v="2"/>
  </r>
  <r>
    <s v="RCV000397"/>
    <s v="PO000383"/>
    <d v="2025-10-08T00:00:00"/>
    <s v="M02"/>
    <x v="18"/>
    <s v="Photoresist"/>
    <s v="liter"/>
    <s v="S03"/>
    <x v="14"/>
    <n v="2085.2759999999998"/>
    <n v="1.2090000000000001"/>
    <s v="Damaged packaging"/>
    <x v="2"/>
  </r>
  <r>
    <s v="RCV000398"/>
    <s v="PO000399"/>
    <d v="2025-10-07T00:00:00"/>
    <s v="M10"/>
    <x v="9"/>
    <s v="CMP consumables"/>
    <s v="liter"/>
    <s v="S06"/>
    <x v="5"/>
    <n v="14328.941000000001"/>
    <n v="1.8640000000000001"/>
    <s v="Purity out of spec"/>
    <x v="2"/>
  </r>
  <r>
    <s v="RCV000399"/>
    <s v="PO000404"/>
    <d v="2025-10-09T00:00:00"/>
    <s v="M17"/>
    <x v="11"/>
    <s v="Bonding &amp; mold"/>
    <s v="meter"/>
    <s v="S18"/>
    <x v="12"/>
    <n v="11012290.362"/>
    <n v="547.29899999999998"/>
    <s v="Damaged packaging"/>
    <x v="2"/>
  </r>
  <r>
    <s v="RCV000400"/>
    <s v="PO000405"/>
    <d v="2025-10-09T00:00:00"/>
    <s v="M18"/>
    <x v="12"/>
    <s v="Bonding &amp; mold"/>
    <s v="gram"/>
    <s v="S16"/>
    <x v="9"/>
    <n v="6423836.0449999999"/>
    <n v="564.90099999999995"/>
    <s v="Particle contamination"/>
    <x v="2"/>
  </r>
  <r>
    <s v="RCV000402"/>
    <s v="PO000396"/>
    <d v="2025-10-14T00:00:00"/>
    <s v="M20"/>
    <x v="16"/>
    <s v="Underfill"/>
    <s v="kit"/>
    <s v="S18"/>
    <x v="12"/>
    <n v="62513.517"/>
    <n v="26.257000000000001"/>
    <s v="Particle contamination"/>
    <x v="2"/>
  </r>
  <r>
    <s v="RCV000403"/>
    <s v="PO000398"/>
    <d v="2025-10-18T00:00:00"/>
    <s v="M01"/>
    <x v="13"/>
    <s v="Silicon wafers"/>
    <s v="wafer"/>
    <s v="S02"/>
    <x v="17"/>
    <n v="23918.455999999998"/>
    <n v="12.984999999999999"/>
    <s v="Damaged packaging"/>
    <x v="2"/>
  </r>
  <r>
    <s v="RCV000404"/>
    <s v="PO000409"/>
    <d v="2025-10-14T00:00:00"/>
    <s v="M11"/>
    <x v="10"/>
    <s v="CMP consumables"/>
    <s v="each"/>
    <s v="S10"/>
    <x v="8"/>
    <n v="285.91399999999999"/>
    <n v="0.126"/>
    <s v="Particle contamination"/>
    <x v="2"/>
  </r>
  <r>
    <s v="RCV000405"/>
    <s v="PO000416"/>
    <d v="2025-10-16T00:00:00"/>
    <s v="M08"/>
    <x v="6"/>
    <s v="Wet chemicals"/>
    <s v="liter"/>
    <s v="S06"/>
    <x v="5"/>
    <n v="142732.23699999999"/>
    <n v="51.488999999999997"/>
    <s v="Purity out of spec"/>
    <x v="2"/>
  </r>
  <r>
    <s v="RCV000406"/>
    <s v="PO000426"/>
    <d v="2025-10-19T00:00:00"/>
    <s v="M21"/>
    <x v="4"/>
    <s v="Trays &amp; reels"/>
    <s v="each"/>
    <s v="S16"/>
    <x v="9"/>
    <n v="20715744.780999999"/>
    <n v="20469.838"/>
    <s v="Particle contamination"/>
    <x v="2"/>
  </r>
  <r>
    <s v="RCV000408"/>
    <s v="PO000412"/>
    <d v="2025-10-25T00:00:00"/>
    <s v="M06"/>
    <x v="15"/>
    <s v="Specialty gases"/>
    <s v="kg"/>
    <s v="S07"/>
    <x v="11"/>
    <n v="1905.605"/>
    <n v="1.256"/>
    <s v="Purity out of spec"/>
    <x v="2"/>
  </r>
  <r>
    <s v="RCV000410"/>
    <s v="PO000391"/>
    <d v="2025-10-28T00:00:00"/>
    <s v="M16"/>
    <x v="20"/>
    <s v="Package substrates"/>
    <s v="each"/>
    <s v="S16"/>
    <x v="9"/>
    <n v="21222411.276999999"/>
    <n v="8654.3420000000006"/>
    <s v="Certificate (COA) mismatch"/>
    <x v="2"/>
  </r>
  <r>
    <s v="RCV000411"/>
    <s v="PO000415"/>
    <d v="2025-11-06T00:00:00"/>
    <s v="M05"/>
    <x v="14"/>
    <s v="Specialty gases"/>
    <s v="kg"/>
    <s v="S08"/>
    <x v="7"/>
    <n v="21416.463"/>
    <n v="4.9859999999999998"/>
    <s v="Purity out of spec"/>
    <x v="2"/>
  </r>
  <r>
    <s v="RCV000412"/>
    <s v="PO000419"/>
    <d v="2025-11-07T00:00:00"/>
    <s v="M07"/>
    <x v="8"/>
    <s v="Specialty gases"/>
    <s v="kg"/>
    <s v="S08"/>
    <x v="7"/>
    <n v="2872.1080000000002"/>
    <n v="0.40200000000000002"/>
    <s v="Certificate (COA) mismatch"/>
    <x v="2"/>
  </r>
  <r>
    <s v="RCV000413"/>
    <s v="PO000427"/>
    <d v="2025-11-03T00:00:00"/>
    <s v="M03"/>
    <x v="5"/>
    <s v="Wet chemicals"/>
    <s v="liter"/>
    <s v="S09"/>
    <x v="6"/>
    <n v="34740.370000000003"/>
    <n v="28.567"/>
    <s v="Dimensional"/>
    <x v="2"/>
  </r>
  <r>
    <s v="RCV000414"/>
    <s v="PO000428"/>
    <d v="2025-11-06T00:00:00"/>
    <s v="M09"/>
    <x v="7"/>
    <s v="Wet chemicals"/>
    <s v="liter"/>
    <s v="S09"/>
    <x v="6"/>
    <n v="48181.582999999999"/>
    <n v="101.258"/>
    <s v="Certificate (COA) mismatch"/>
    <x v="2"/>
  </r>
  <r>
    <s v="RCV000416"/>
    <s v="PO000400"/>
    <d v="2025-11-11T00:00:00"/>
    <s v="M13"/>
    <x v="19"/>
    <s v="ALD precursors"/>
    <s v="kg"/>
    <s v="S12"/>
    <x v="15"/>
    <n v="95.504999999999995"/>
    <n v="0.10299999999999999"/>
    <s v="Dimensional"/>
    <x v="2"/>
  </r>
  <r>
    <s v="RCV000417"/>
    <s v="PO000403"/>
    <d v="2025-11-10T00:00:00"/>
    <s v="M16"/>
    <x v="20"/>
    <s v="Package substrates"/>
    <s v="each"/>
    <s v="S16"/>
    <x v="9"/>
    <n v="18410732.572999999"/>
    <n v="19941.093000000001"/>
    <s v="Dimensional"/>
    <x v="2"/>
  </r>
  <r>
    <s v="RCV000418"/>
    <s v="PO000420"/>
    <d v="2025-11-14T00:00:00"/>
    <s v="M10"/>
    <x v="9"/>
    <s v="CMP consumables"/>
    <s v="liter"/>
    <s v="S06"/>
    <x v="5"/>
    <n v="11521.864"/>
    <n v="0.441"/>
    <s v="Damaged packaging"/>
    <x v="2"/>
  </r>
  <r>
    <s v="RCV000419"/>
    <s v="PO000424"/>
    <d v="2025-11-11T00:00:00"/>
    <s v="M17"/>
    <x v="11"/>
    <s v="Bonding &amp; mold"/>
    <s v="meter"/>
    <s v="S18"/>
    <x v="12"/>
    <n v="12376263.365"/>
    <n v="1137.7950000000001"/>
    <s v="Damaged packaging"/>
    <x v="2"/>
  </r>
  <r>
    <s v="RCV000420"/>
    <s v="PO000425"/>
    <d v="2025-11-10T00:00:00"/>
    <s v="M18"/>
    <x v="12"/>
    <s v="Bonding &amp; mold"/>
    <s v="gram"/>
    <s v="S16"/>
    <x v="9"/>
    <n v="7216597.2489999998"/>
    <n v="4133.652"/>
    <s v="Dimensional"/>
    <x v="2"/>
  </r>
  <r>
    <s v="RCV000422"/>
    <s v="PO000429"/>
    <d v="2025-11-20T00:00:00"/>
    <s v="M11"/>
    <x v="10"/>
    <s v="CMP consumables"/>
    <s v="each"/>
    <s v="S10"/>
    <x v="8"/>
    <n v="211.006"/>
    <n v="0.214"/>
    <s v="Particle contamination"/>
    <x v="2"/>
  </r>
  <r>
    <s v="RCV000423"/>
    <s v="PO000438"/>
    <d v="2025-11-17T00:00:00"/>
    <s v="M08"/>
    <x v="6"/>
    <s v="Wet chemicals"/>
    <s v="liter"/>
    <s v="S09"/>
    <x v="6"/>
    <n v="116001.489"/>
    <n v="91.77"/>
    <s v="Damaged packaging"/>
    <x v="2"/>
  </r>
  <r>
    <s v="RCV000425"/>
    <s v="PO000411"/>
    <d v="2025-11-27T00:00:00"/>
    <s v="M02"/>
    <x v="18"/>
    <s v="Photoresist"/>
    <s v="liter"/>
    <s v="S03"/>
    <x v="14"/>
    <n v="762.64200000000005"/>
    <n v="2.375"/>
    <s v="Purity out of spec"/>
    <x v="2"/>
  </r>
  <r>
    <s v="RCV000426"/>
    <s v="PO000417"/>
    <d v="2025-11-26T00:00:00"/>
    <s v="M20"/>
    <x v="16"/>
    <s v="Underfill"/>
    <s v="kit"/>
    <s v="S18"/>
    <x v="12"/>
    <n v="56330.987999999998"/>
    <n v="23.26"/>
    <s v="Purity out of spec"/>
    <x v="2"/>
  </r>
  <r>
    <s v="RCV000429"/>
    <s v="PO000418"/>
    <d v="2025-12-03T00:00:00"/>
    <s v="M01"/>
    <x v="13"/>
    <s v="Silicon wafers"/>
    <s v="wafer"/>
    <s v="S02"/>
    <x v="17"/>
    <n v="19200"/>
    <n v="5.4790000000000001"/>
    <s v="Particle contamination"/>
    <x v="2"/>
  </r>
  <r>
    <s v="RCV000430"/>
    <s v="PO000433"/>
    <d v="2025-12-03T00:00:00"/>
    <s v="M06"/>
    <x v="15"/>
    <s v="Specialty gases"/>
    <s v="kg"/>
    <s v="S07"/>
    <x v="11"/>
    <n v="1547.2560000000001"/>
    <n v="4.1390000000000002"/>
    <s v="Purity out of spec"/>
    <x v="2"/>
  </r>
  <r>
    <s v="RCV000431"/>
    <s v="PO000440"/>
    <d v="2025-12-01T00:00:00"/>
    <s v="M07"/>
    <x v="8"/>
    <s v="Specialty gases"/>
    <s v="kg"/>
    <s v="S08"/>
    <x v="7"/>
    <n v="2304.402"/>
    <n v="8.9999999999999993E-3"/>
    <s v="Damaged packaging"/>
    <x v="2"/>
  </r>
  <r>
    <s v="RCV000432"/>
    <s v="PO000448"/>
    <d v="2025-12-01T00:00:00"/>
    <s v="M21"/>
    <x v="4"/>
    <s v="Trays &amp; reels"/>
    <s v="each"/>
    <s v="S16"/>
    <x v="9"/>
    <n v="21183221.914999999"/>
    <n v="19164.506000000001"/>
    <s v="Dimensional"/>
    <x v="2"/>
  </r>
  <r>
    <s v="RCV000433"/>
    <s v="PO000437"/>
    <d v="2025-12-12T00:00:00"/>
    <s v="M05"/>
    <x v="14"/>
    <s v="Specialty gases"/>
    <s v="kg"/>
    <s v="S08"/>
    <x v="7"/>
    <n v="17392.5"/>
    <n v="4.4009999999999998"/>
    <s v="Dimensional"/>
    <x v="2"/>
  </r>
  <r>
    <s v="RCV000434"/>
    <s v="PO000441"/>
    <d v="2025-12-08T00:00:00"/>
    <s v="M10"/>
    <x v="9"/>
    <s v="CMP consumables"/>
    <s v="liter"/>
    <s v="S06"/>
    <x v="5"/>
    <n v="11520"/>
    <n v="6.6000000000000003E-2"/>
    <s v="Particle contamination"/>
    <x v="2"/>
  </r>
  <r>
    <s v="RCV000435"/>
    <s v="PO000449"/>
    <d v="2025-12-11T00:00:00"/>
    <s v="M03"/>
    <x v="5"/>
    <s v="Wet chemicals"/>
    <s v="liter"/>
    <s v="S06"/>
    <x v="5"/>
    <n v="43138.567000000003"/>
    <n v="7.258"/>
    <s v="Damaged packaging"/>
    <x v="2"/>
  </r>
  <r>
    <s v="RCV000436"/>
    <s v="PO000450"/>
    <d v="2025-12-09T00:00:00"/>
    <s v="M09"/>
    <x v="7"/>
    <s v="Wet chemicals"/>
    <s v="liter"/>
    <s v="S09"/>
    <x v="6"/>
    <n v="52703.487000000001"/>
    <n v="59.854999999999997"/>
    <s v="Particle contamination"/>
    <x v="2"/>
  </r>
  <r>
    <s v="RCV000437"/>
    <s v="PO000414"/>
    <d v="2025-12-17T00:00:00"/>
    <s v="M04"/>
    <x v="17"/>
    <s v="Specialty gases"/>
    <s v="cylinder"/>
    <s v="S05"/>
    <x v="13"/>
    <n v="142.93899999999999"/>
    <n v="0.24"/>
    <s v="Certificate (COA) mismatch"/>
    <x v="2"/>
  </r>
  <r>
    <s v="RCV000438"/>
    <s v="PO000421"/>
    <d v="2025-12-20T00:00:00"/>
    <s v="M13"/>
    <x v="19"/>
    <s v="ALD precursors"/>
    <s v="kg"/>
    <s v="S12"/>
    <x v="15"/>
    <n v="76.846999999999994"/>
    <n v="9.5000000000000001E-2"/>
    <s v="Certificate (COA) mismatch"/>
    <x v="2"/>
  </r>
  <r>
    <s v="RCV000439"/>
    <s v="PO000423"/>
    <d v="2025-12-16T00:00:00"/>
    <s v="M16"/>
    <x v="20"/>
    <s v="Package substrates"/>
    <s v="each"/>
    <s v="S15"/>
    <x v="16"/>
    <n v="20623538.627"/>
    <n v="22144.55"/>
    <s v="Particle contamination"/>
    <x v="2"/>
  </r>
  <r>
    <s v="RCV000440"/>
    <s v="PO000435"/>
    <d v="2025-12-16T00:00:00"/>
    <s v="M20"/>
    <x v="16"/>
    <s v="Underfill"/>
    <s v="kit"/>
    <s v="S18"/>
    <x v="12"/>
    <n v="60103.904999999999"/>
    <n v="30.867000000000001"/>
    <s v="Damaged packaging"/>
    <x v="2"/>
  </r>
  <r>
    <s v="RCV000441"/>
    <s v="PO000439"/>
    <d v="2025-12-18T00:00:00"/>
    <s v="M01"/>
    <x v="13"/>
    <s v="Silicon wafers"/>
    <s v="wafer"/>
    <s v="S02"/>
    <x v="17"/>
    <n v="19212.985000000001"/>
    <n v="7.8E-2"/>
    <s v="Dimensional"/>
    <x v="2"/>
  </r>
  <r>
    <s v="RCV000442"/>
    <s v="PO000445"/>
    <d v="2025-12-16T00:00:00"/>
    <s v="M17"/>
    <x v="11"/>
    <s v="Bonding &amp; mold"/>
    <s v="meter"/>
    <s v="S18"/>
    <x v="12"/>
    <n v="12641229.801999999"/>
    <n v="854.62"/>
    <s v="Purity out of spec"/>
    <x v="2"/>
  </r>
  <r>
    <s v="RCV000443"/>
    <s v="PO000446"/>
    <d v="2025-12-19T00:00:00"/>
    <s v="M18"/>
    <x v="12"/>
    <s v="Bonding &amp; mold"/>
    <s v="gram"/>
    <s v="S16"/>
    <x v="9"/>
    <n v="7377520.6560000004"/>
    <n v="9296.6620000000003"/>
    <s v="Particle contamination"/>
    <x v="2"/>
  </r>
  <r>
    <s v="RCV000444"/>
    <s v="PO000456"/>
    <d v="2025-12-17T00:00:00"/>
    <s v="M04"/>
    <x v="17"/>
    <s v="Specialty gases"/>
    <s v="cylinder"/>
    <s v="S05"/>
    <x v="13"/>
    <n v="143.4"/>
    <n v="2.4E-2"/>
    <s v="Particle contamination"/>
    <x v="2"/>
  </r>
  <r>
    <s v="RCV000447"/>
    <s v="PO000436"/>
    <d v="2025-12-25T00:00:00"/>
    <s v="M04"/>
    <x v="17"/>
    <s v="Specialty gases"/>
    <s v="cylinder"/>
    <s v="S05"/>
    <x v="13"/>
    <n v="116.26"/>
    <n v="0.52"/>
    <s v="Damaged packaging"/>
    <x v="2"/>
  </r>
  <r>
    <s v="RCV000448"/>
    <s v="PO000451"/>
    <d v="2025-12-25T00:00:00"/>
    <s v="M11"/>
    <x v="10"/>
    <s v="CMP consumables"/>
    <s v="each"/>
    <s v="S10"/>
    <x v="8"/>
    <n v="308.334"/>
    <n v="4.5999999999999999E-2"/>
    <s v="Purity out of spec"/>
    <x v="2"/>
  </r>
  <r>
    <s v="RCV000449"/>
    <s v="PO000458"/>
    <d v="2025-12-23T00:00:00"/>
    <s v="M08"/>
    <x v="6"/>
    <s v="Wet chemicals"/>
    <s v="liter"/>
    <s v="S09"/>
    <x v="6"/>
    <n v="143491.76999999999"/>
    <n v="178.17"/>
    <s v="Particle contamination"/>
    <x v="2"/>
  </r>
  <r>
    <s v="RCV000450"/>
    <s v="PO000470"/>
    <d v="2025-12-28T00:00:00"/>
    <s v="M21"/>
    <x v="4"/>
    <s v="Trays &amp; reels"/>
    <s v="each"/>
    <s v="S19"/>
    <x v="4"/>
    <n v="21253185.397999998"/>
    <n v="4589.12"/>
    <s v="Damaged packaging"/>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s v="SE-01"/>
    <x v="0"/>
    <s v="M01"/>
    <x v="0"/>
    <d v="2024-09-02T00:00:00"/>
    <d v="2024-10-14T00:00:00"/>
    <s v="S01"/>
    <s v="S02"/>
    <n v="121.54"/>
    <n v="104.01"/>
    <n v="249600"/>
    <m/>
    <m/>
    <n v="4375488"/>
    <n v="0"/>
    <x v="0"/>
  </r>
  <r>
    <s v="SE-02"/>
    <x v="0"/>
    <s v="M08"/>
    <x v="1"/>
    <d v="2024-09-30T00:00:00"/>
    <d v="2024-11-11T00:00:00"/>
    <s v="S09"/>
    <s v="S06"/>
    <n v="4.33"/>
    <n v="4.05"/>
    <n v="1497600"/>
    <m/>
    <m/>
    <n v="419328.00000000035"/>
    <n v="0"/>
    <x v="0"/>
  </r>
  <r>
    <s v="SE-03"/>
    <x v="0"/>
    <s v="M05"/>
    <x v="2"/>
    <d v="2024-10-28T00:00:00"/>
    <d v="2024-12-09T00:00:00"/>
    <s v="S07"/>
    <s v="S08"/>
    <n v="28.84"/>
    <n v="26.57"/>
    <n v="224640"/>
    <m/>
    <m/>
    <n v="509932.79999999993"/>
    <n v="0"/>
    <x v="0"/>
  </r>
  <r>
    <s v="SE-04"/>
    <x v="1"/>
    <s v="M10"/>
    <x v="3"/>
    <d v="2024-11-11T00:00:00"/>
    <d v="2024-12-23T00:00:00"/>
    <s v="S10"/>
    <s v="S06"/>
    <n v="39.14"/>
    <n v="35.79"/>
    <n v="149760"/>
    <m/>
    <m/>
    <n v="501696.00000000023"/>
    <n v="0"/>
    <x v="0"/>
  </r>
  <r>
    <s v="SE-05"/>
    <x v="0"/>
    <s v="M16"/>
    <x v="4"/>
    <d v="2024-11-25T00:00:00"/>
    <d v="2025-01-06T00:00:00"/>
    <s v="S15"/>
    <s v="S16"/>
    <n v="0.1133"/>
    <n v="9.6799999999999997E-2"/>
    <n v="237424734"/>
    <m/>
    <m/>
    <n v="3917508.111"/>
    <n v="0"/>
    <x v="1"/>
  </r>
  <r>
    <s v="SE-06"/>
    <x v="0"/>
    <s v="M17"/>
    <x v="5"/>
    <d v="2024-12-09T00:00:00"/>
    <d v="2025-01-20T00:00:00"/>
    <s v="S16"/>
    <s v="S18"/>
    <n v="4.1000000000000003E-3"/>
    <n v="4.0000000000000001E-3"/>
    <n v="142454840"/>
    <m/>
    <m/>
    <n v="14245.484000000037"/>
    <n v="0"/>
    <x v="1"/>
  </r>
  <r>
    <s v="SE-07"/>
    <x v="1"/>
    <s v="M02"/>
    <x v="6"/>
    <d v="2025-01-06T00:00:00"/>
    <d v="2025-02-17T00:00:00"/>
    <s v="S03"/>
    <s v="S04"/>
    <n v="2472"/>
    <n v="2365.75"/>
    <n v="8736"/>
    <m/>
    <m/>
    <n v="928200"/>
    <n v="0"/>
    <x v="1"/>
  </r>
  <r>
    <s v="SE-08"/>
    <x v="0"/>
    <s v="M03"/>
    <x v="7"/>
    <d v="2025-01-20T00:00:00"/>
    <d v="2025-03-03T00:00:00"/>
    <s v="S06"/>
    <s v="S09"/>
    <n v="9.7799999999999994"/>
    <n v="8.82"/>
    <n v="449280"/>
    <m/>
    <m/>
    <n v="431308.79999999958"/>
    <n v="0"/>
    <x v="1"/>
  </r>
  <r>
    <s v="SE-09"/>
    <x v="0"/>
    <s v="M21"/>
    <x v="8"/>
    <d v="2025-02-17T00:00:00"/>
    <d v="2025-03-31T00:00:00"/>
    <s v="S19"/>
    <s v="S16"/>
    <n v="1.24E-2"/>
    <n v="1.0800000000000001E-2"/>
    <n v="237424734"/>
    <m/>
    <m/>
    <n v="379879.57439999975"/>
    <n v="0"/>
    <x v="1"/>
  </r>
  <r>
    <s v="SE-10"/>
    <x v="2"/>
    <s v="M15"/>
    <x v="9"/>
    <d v="2025-03-17T00:00:00"/>
    <m/>
    <s v="S14"/>
    <m/>
    <n v="49440"/>
    <m/>
    <n v="0"/>
    <m/>
    <m/>
    <n v="0"/>
    <n v="0"/>
    <x v="2"/>
  </r>
  <r>
    <s v="PN-01"/>
    <x v="3"/>
    <s v="M06"/>
    <x v="10"/>
    <d v="2024-07-22T00:00:00"/>
    <d v="2024-08-05T00:00:00"/>
    <s v="S07"/>
    <s v="S07"/>
    <n v="410"/>
    <n v="422.3"/>
    <n v="19968"/>
    <n v="0.09"/>
    <n v="0.03"/>
    <n v="0"/>
    <n v="491212.79999999993"/>
    <x v="0"/>
  </r>
  <r>
    <s v="PN-02"/>
    <x v="3"/>
    <s v="M12"/>
    <x v="11"/>
    <d v="2024-10-14T00:00:00"/>
    <d v="2024-10-28T00:00:00"/>
    <s v="S11"/>
    <s v="S11"/>
    <n v="9500"/>
    <n v="9690"/>
    <n v="150"/>
    <n v="7.0000000000000007E-2"/>
    <n v="0.02"/>
    <n v="0"/>
    <n v="71250"/>
    <x v="0"/>
  </r>
  <r>
    <s v="PN-03"/>
    <x v="3"/>
    <s v="M13"/>
    <x v="12"/>
    <d v="2025-02-03T00:00:00"/>
    <d v="2025-02-17T00:00:00"/>
    <s v="S12"/>
    <s v="S12"/>
    <n v="3900"/>
    <n v="4056"/>
    <n v="998"/>
    <n v="0.1"/>
    <n v="0.04"/>
    <n v="0"/>
    <n v="233532.00000000003"/>
    <x v="1"/>
  </r>
  <r>
    <s v="PN-04"/>
    <x v="3"/>
    <s v="M04"/>
    <x v="13"/>
    <d v="2025-04-28T00:00:00"/>
    <d v="2025-05-12T00:00:00"/>
    <s v="S05"/>
    <s v="S05"/>
    <n v="1850"/>
    <n v="1961"/>
    <n v="1498"/>
    <n v="0.15"/>
    <n v="0.06"/>
    <n v="0"/>
    <n v="24941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FA2617-8755-4799-9471-3DBD360524B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upplier" colHeaderCaption="Order Year">
  <location ref="A3:M25" firstHeaderRow="1" firstDataRow="3" firstDataCol="1"/>
  <pivotFields count="29">
    <pivotField dataField="1" showAll="0">
      <items count="4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t="default"/>
      </items>
    </pivotField>
    <pivotField showAll="0"/>
    <pivotField showAll="0"/>
    <pivotField showAll="0">
      <items count="15">
        <item x="6"/>
        <item x="10"/>
        <item x="7"/>
        <item x="4"/>
        <item x="8"/>
        <item x="9"/>
        <item x="1"/>
        <item x="11"/>
        <item x="0"/>
        <item x="3"/>
        <item x="5"/>
        <item x="13"/>
        <item x="12"/>
        <item x="2"/>
        <item t="default"/>
      </items>
    </pivotField>
    <pivotField showAll="0"/>
    <pivotField showAll="0"/>
    <pivotField axis="axisRow" showAll="0">
      <items count="20">
        <item x="16"/>
        <item x="7"/>
        <item x="3"/>
        <item x="9"/>
        <item x="17"/>
        <item x="4"/>
        <item x="1"/>
        <item x="12"/>
        <item x="0"/>
        <item x="15"/>
        <item x="5"/>
        <item x="2"/>
        <item x="13"/>
        <item x="14"/>
        <item x="10"/>
        <item x="18"/>
        <item x="8"/>
        <item x="6"/>
        <item x="11"/>
        <item t="default"/>
      </items>
    </pivotField>
    <pivotField numFmtId="14" showAll="0"/>
    <pivotField numFmtId="14" showAll="0"/>
    <pivotField showAll="0"/>
    <pivotField showAll="0"/>
    <pivotField showAll="0"/>
    <pivotField numFmtId="14" showAll="0"/>
    <pivotField numFmtId="14" showAll="0">
      <items count="367">
        <item x="17"/>
        <item x="2"/>
        <item x="7"/>
        <item x="6"/>
        <item x="9"/>
        <item x="8"/>
        <item x="15"/>
        <item x="4"/>
        <item x="0"/>
        <item x="5"/>
        <item x="12"/>
        <item x="16"/>
        <item x="10"/>
        <item x="27"/>
        <item x="3"/>
        <item x="22"/>
        <item x="26"/>
        <item x="14"/>
        <item x="1"/>
        <item x="11"/>
        <item x="29"/>
        <item x="28"/>
        <item x="33"/>
        <item x="20"/>
        <item x="25"/>
        <item x="24"/>
        <item x="19"/>
        <item x="42"/>
        <item x="23"/>
        <item x="47"/>
        <item x="30"/>
        <item x="21"/>
        <item x="46"/>
        <item x="41"/>
        <item x="44"/>
        <item x="31"/>
        <item x="38"/>
        <item x="48"/>
        <item x="49"/>
        <item x="13"/>
        <item x="45"/>
        <item x="43"/>
        <item x="35"/>
        <item x="52"/>
        <item x="51"/>
        <item x="18"/>
        <item x="39"/>
        <item x="64"/>
        <item x="55"/>
        <item x="50"/>
        <item x="36"/>
        <item x="56"/>
        <item x="59"/>
        <item x="37"/>
        <item x="32"/>
        <item x="62"/>
        <item x="61"/>
        <item x="53"/>
        <item x="69"/>
        <item x="40"/>
        <item x="57"/>
        <item x="73"/>
        <item x="54"/>
        <item x="65"/>
        <item x="71"/>
        <item x="60"/>
        <item x="58"/>
        <item x="74"/>
        <item x="63"/>
        <item x="34"/>
        <item x="78"/>
        <item x="68"/>
        <item x="79"/>
        <item x="88"/>
        <item x="75"/>
        <item x="76"/>
        <item x="84"/>
        <item x="81"/>
        <item x="77"/>
        <item x="67"/>
        <item x="87"/>
        <item x="70"/>
        <item x="86"/>
        <item x="97"/>
        <item x="80"/>
        <item x="72"/>
        <item x="93"/>
        <item x="92"/>
        <item x="96"/>
        <item x="101"/>
        <item x="83"/>
        <item x="90"/>
        <item x="95"/>
        <item x="85"/>
        <item x="66"/>
        <item x="94"/>
        <item x="99"/>
        <item x="89"/>
        <item x="109"/>
        <item x="98"/>
        <item x="100"/>
        <item x="103"/>
        <item x="119"/>
        <item x="105"/>
        <item x="114"/>
        <item x="108"/>
        <item x="106"/>
        <item x="107"/>
        <item x="102"/>
        <item x="82"/>
        <item x="118"/>
        <item x="113"/>
        <item x="120"/>
        <item x="121"/>
        <item x="110"/>
        <item x="104"/>
        <item x="112"/>
        <item x="127"/>
        <item x="111"/>
        <item x="117"/>
        <item x="91"/>
        <item x="126"/>
        <item x="115"/>
        <item x="125"/>
        <item x="128"/>
        <item x="116"/>
        <item x="134"/>
        <item x="135"/>
        <item x="122"/>
        <item x="129"/>
        <item x="123"/>
        <item x="146"/>
        <item x="138"/>
        <item x="132"/>
        <item x="131"/>
        <item x="147"/>
        <item x="130"/>
        <item x="140"/>
        <item x="133"/>
        <item x="145"/>
        <item x="151"/>
        <item x="141"/>
        <item x="137"/>
        <item x="136"/>
        <item x="152"/>
        <item x="160"/>
        <item x="154"/>
        <item x="142"/>
        <item x="153"/>
        <item x="156"/>
        <item x="143"/>
        <item x="155"/>
        <item x="124"/>
        <item x="159"/>
        <item x="148"/>
        <item x="149"/>
        <item x="166"/>
        <item x="157"/>
        <item x="163"/>
        <item x="158"/>
        <item x="170"/>
        <item x="150"/>
        <item x="169"/>
        <item x="171"/>
        <item x="161"/>
        <item x="179"/>
        <item x="139"/>
        <item x="162"/>
        <item x="173"/>
        <item x="165"/>
        <item x="175"/>
        <item x="174"/>
        <item x="193"/>
        <item x="182"/>
        <item x="172"/>
        <item x="144"/>
        <item x="177"/>
        <item x="183"/>
        <item x="164"/>
        <item x="167"/>
        <item x="180"/>
        <item x="187"/>
        <item x="168"/>
        <item x="196"/>
        <item x="191"/>
        <item x="192"/>
        <item x="178"/>
        <item x="176"/>
        <item x="189"/>
        <item x="188"/>
        <item x="195"/>
        <item x="181"/>
        <item x="203"/>
        <item x="199"/>
        <item x="184"/>
        <item x="194"/>
        <item x="213"/>
        <item x="186"/>
        <item x="200"/>
        <item x="209"/>
        <item x="205"/>
        <item x="198"/>
        <item x="210"/>
        <item x="201"/>
        <item x="212"/>
        <item x="218"/>
        <item x="197"/>
        <item x="216"/>
        <item x="228"/>
        <item x="223"/>
        <item x="204"/>
        <item x="208"/>
        <item x="214"/>
        <item x="220"/>
        <item x="227"/>
        <item x="217"/>
        <item x="226"/>
        <item x="206"/>
        <item x="219"/>
        <item x="230"/>
        <item x="185"/>
        <item x="211"/>
        <item x="215"/>
        <item x="229"/>
        <item x="190"/>
        <item x="245"/>
        <item x="221"/>
        <item x="234"/>
        <item x="224"/>
        <item x="251"/>
        <item x="247"/>
        <item x="222"/>
        <item x="233"/>
        <item x="238"/>
        <item x="243"/>
        <item x="246"/>
        <item x="244"/>
        <item x="225"/>
        <item x="242"/>
        <item x="236"/>
        <item x="202"/>
        <item x="237"/>
        <item x="248"/>
        <item x="232"/>
        <item x="261"/>
        <item x="239"/>
        <item x="207"/>
        <item x="235"/>
        <item x="259"/>
        <item x="250"/>
        <item x="240"/>
        <item x="254"/>
        <item x="241"/>
        <item x="260"/>
        <item x="253"/>
        <item x="258"/>
        <item x="266"/>
        <item x="276"/>
        <item x="257"/>
        <item x="252"/>
        <item x="249"/>
        <item x="271"/>
        <item x="255"/>
        <item x="231"/>
        <item x="256"/>
        <item x="267"/>
        <item x="273"/>
        <item x="274"/>
        <item x="264"/>
        <item x="265"/>
        <item x="282"/>
        <item x="268"/>
        <item x="263"/>
        <item x="270"/>
        <item x="279"/>
        <item x="269"/>
        <item x="275"/>
        <item x="278"/>
        <item x="288"/>
        <item x="281"/>
        <item x="291"/>
        <item x="290"/>
        <item x="284"/>
        <item x="277"/>
        <item x="283"/>
        <item x="272"/>
        <item x="280"/>
        <item x="294"/>
        <item x="297"/>
        <item x="303"/>
        <item x="287"/>
        <item x="285"/>
        <item x="292"/>
        <item x="293"/>
        <item x="296"/>
        <item x="289"/>
        <item x="300"/>
        <item x="315"/>
        <item x="305"/>
        <item x="295"/>
        <item x="302"/>
        <item x="304"/>
        <item x="316"/>
        <item x="301"/>
        <item x="309"/>
        <item x="299"/>
        <item x="314"/>
        <item x="307"/>
        <item x="322"/>
        <item x="308"/>
        <item x="330"/>
        <item x="311"/>
        <item x="318"/>
        <item x="306"/>
        <item x="286"/>
        <item x="331"/>
        <item x="321"/>
        <item x="325"/>
        <item x="313"/>
        <item x="310"/>
        <item x="326"/>
        <item x="262"/>
        <item x="338"/>
        <item x="319"/>
        <item x="332"/>
        <item x="298"/>
        <item x="323"/>
        <item x="317"/>
        <item x="328"/>
        <item x="340"/>
        <item x="324"/>
        <item x="341"/>
        <item x="348"/>
        <item x="347"/>
        <item x="337"/>
        <item x="329"/>
        <item x="320"/>
        <item x="339"/>
        <item x="345"/>
        <item x="327"/>
        <item x="333"/>
        <item x="336"/>
        <item x="335"/>
        <item x="363"/>
        <item x="334"/>
        <item x="343"/>
        <item x="312"/>
        <item x="351"/>
        <item x="346"/>
        <item x="353"/>
        <item x="342"/>
        <item x="344"/>
        <item x="358"/>
        <item x="352"/>
        <item x="357"/>
        <item x="355"/>
        <item x="362"/>
        <item x="350"/>
        <item x="360"/>
        <item x="365"/>
        <item x="364"/>
        <item x="359"/>
        <item x="361"/>
        <item x="349"/>
        <item x="354"/>
        <item x="356"/>
        <item t="default"/>
      </items>
    </pivotField>
    <pivotField showAll="0"/>
    <pivotField showAll="0"/>
    <pivotField dataField="1" showAll="0"/>
    <pivotField showAll="0"/>
    <pivotField dataField="1" showAll="0"/>
    <pivotField showAll="0"/>
    <pivotField axis="axisCol" showAll="0">
      <items count="4">
        <item x="0"/>
        <item x="1"/>
        <item x="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Fields count="1">
    <field x="6"/>
  </rowFields>
  <rowItems count="20">
    <i>
      <x/>
    </i>
    <i>
      <x v="1"/>
    </i>
    <i>
      <x v="2"/>
    </i>
    <i>
      <x v="3"/>
    </i>
    <i>
      <x v="4"/>
    </i>
    <i>
      <x v="5"/>
    </i>
    <i>
      <x v="6"/>
    </i>
    <i>
      <x v="7"/>
    </i>
    <i>
      <x v="8"/>
    </i>
    <i>
      <x v="9"/>
    </i>
    <i>
      <x v="10"/>
    </i>
    <i>
      <x v="11"/>
    </i>
    <i>
      <x v="12"/>
    </i>
    <i>
      <x v="13"/>
    </i>
    <i>
      <x v="14"/>
    </i>
    <i>
      <x v="15"/>
    </i>
    <i>
      <x v="16"/>
    </i>
    <i>
      <x v="17"/>
    </i>
    <i>
      <x v="18"/>
    </i>
    <i t="grand">
      <x/>
    </i>
  </rowItems>
  <colFields count="2">
    <field x="20"/>
    <field x="-2"/>
  </colFields>
  <colItems count="12">
    <i>
      <x/>
      <x/>
    </i>
    <i r="1" i="1">
      <x v="1"/>
    </i>
    <i r="1" i="2">
      <x v="2"/>
    </i>
    <i>
      <x v="1"/>
      <x/>
    </i>
    <i r="1" i="1">
      <x v="1"/>
    </i>
    <i r="1" i="2">
      <x v="2"/>
    </i>
    <i>
      <x v="2"/>
      <x/>
    </i>
    <i r="1" i="1">
      <x v="1"/>
    </i>
    <i r="1" i="2">
      <x v="2"/>
    </i>
    <i t="grand">
      <x/>
    </i>
    <i t="grand" i="1">
      <x/>
    </i>
    <i t="grand" i="2">
      <x/>
    </i>
  </colItems>
  <dataFields count="3">
    <dataField name="OTD%" fld="16" subtotal="average" baseField="6" baseItem="0" numFmtId="164"/>
    <dataField name="OTIF%" fld="18" subtotal="average" baseField="6" baseItem="0" numFmtId="164"/>
    <dataField name="PO Count" fld="0" subtotal="count" baseField="6" baseItem="0" numFmtId="1"/>
  </dataFields>
  <formats count="2">
    <format dxfId="131">
      <pivotArea type="all" dataOnly="0" outline="0" fieldPosition="0"/>
    </format>
    <format dxfId="130">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7DBDF0-064E-4F1E-A751-A90798CB6E5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upplier">
  <location ref="A3:C23" firstHeaderRow="0" firstDataRow="1" firstDataCol="1" rowPageCount="1" colPageCount="1"/>
  <pivotFields count="29">
    <pivotField showAll="0"/>
    <pivotField showAll="0"/>
    <pivotField showAll="0"/>
    <pivotField showAll="0"/>
    <pivotField showAll="0"/>
    <pivotField showAll="0"/>
    <pivotField axis="axisRow">
      <items count="20">
        <item x="16"/>
        <item x="7"/>
        <item x="3"/>
        <item x="9"/>
        <item x="17"/>
        <item x="4"/>
        <item x="1"/>
        <item x="12"/>
        <item x="0"/>
        <item x="15"/>
        <item x="5"/>
        <item x="2"/>
        <item x="13"/>
        <item x="14"/>
        <item x="10"/>
        <item x="18"/>
        <item x="8"/>
        <item x="6"/>
        <item x="11"/>
        <item t="default"/>
      </items>
    </pivotField>
    <pivotField numFmtId="14" showAll="0"/>
    <pivotField numFmtId="14" showAll="0"/>
    <pivotField showAll="0"/>
    <pivotField showAll="0"/>
    <pivotField showAll="0"/>
    <pivotField numFmtId="14" showAll="0"/>
    <pivotField numFmtId="14" showAll="0">
      <items count="367">
        <item x="17"/>
        <item x="2"/>
        <item x="7"/>
        <item x="6"/>
        <item x="9"/>
        <item x="8"/>
        <item x="15"/>
        <item x="4"/>
        <item x="0"/>
        <item x="5"/>
        <item x="12"/>
        <item x="16"/>
        <item x="10"/>
        <item x="27"/>
        <item x="3"/>
        <item x="22"/>
        <item x="26"/>
        <item x="14"/>
        <item x="1"/>
        <item x="11"/>
        <item x="29"/>
        <item x="28"/>
        <item x="33"/>
        <item x="20"/>
        <item x="25"/>
        <item x="24"/>
        <item x="19"/>
        <item x="42"/>
        <item x="23"/>
        <item x="47"/>
        <item x="30"/>
        <item x="21"/>
        <item x="46"/>
        <item x="41"/>
        <item x="44"/>
        <item x="31"/>
        <item x="38"/>
        <item x="48"/>
        <item x="49"/>
        <item x="13"/>
        <item x="45"/>
        <item x="43"/>
        <item x="35"/>
        <item x="52"/>
        <item x="51"/>
        <item x="18"/>
        <item x="39"/>
        <item x="64"/>
        <item x="55"/>
        <item x="50"/>
        <item x="36"/>
        <item x="56"/>
        <item x="59"/>
        <item x="37"/>
        <item x="32"/>
        <item x="62"/>
        <item x="61"/>
        <item x="53"/>
        <item x="69"/>
        <item x="40"/>
        <item x="57"/>
        <item x="73"/>
        <item x="54"/>
        <item x="65"/>
        <item x="71"/>
        <item x="60"/>
        <item x="58"/>
        <item x="74"/>
        <item x="63"/>
        <item x="34"/>
        <item x="78"/>
        <item x="68"/>
        <item x="79"/>
        <item x="88"/>
        <item x="75"/>
        <item x="76"/>
        <item x="84"/>
        <item x="81"/>
        <item x="77"/>
        <item x="67"/>
        <item x="87"/>
        <item x="70"/>
        <item x="86"/>
        <item x="97"/>
        <item x="80"/>
        <item x="72"/>
        <item x="93"/>
        <item x="92"/>
        <item x="96"/>
        <item x="101"/>
        <item x="83"/>
        <item x="90"/>
        <item x="95"/>
        <item x="85"/>
        <item x="66"/>
        <item x="94"/>
        <item x="99"/>
        <item x="89"/>
        <item x="109"/>
        <item x="98"/>
        <item x="100"/>
        <item x="103"/>
        <item x="119"/>
        <item x="105"/>
        <item x="114"/>
        <item x="108"/>
        <item x="106"/>
        <item x="107"/>
        <item x="102"/>
        <item x="82"/>
        <item x="118"/>
        <item x="113"/>
        <item x="120"/>
        <item x="121"/>
        <item x="110"/>
        <item x="104"/>
        <item x="112"/>
        <item x="127"/>
        <item x="111"/>
        <item x="117"/>
        <item x="91"/>
        <item x="126"/>
        <item x="115"/>
        <item x="125"/>
        <item x="128"/>
        <item x="116"/>
        <item x="134"/>
        <item x="135"/>
        <item x="122"/>
        <item x="129"/>
        <item x="123"/>
        <item x="146"/>
        <item x="138"/>
        <item x="132"/>
        <item x="131"/>
        <item x="147"/>
        <item x="130"/>
        <item x="140"/>
        <item x="133"/>
        <item x="145"/>
        <item x="151"/>
        <item x="141"/>
        <item x="137"/>
        <item x="136"/>
        <item x="152"/>
        <item x="160"/>
        <item x="154"/>
        <item x="142"/>
        <item x="153"/>
        <item x="156"/>
        <item x="143"/>
        <item x="155"/>
        <item x="124"/>
        <item x="159"/>
        <item x="148"/>
        <item x="149"/>
        <item x="166"/>
        <item x="157"/>
        <item x="163"/>
        <item x="158"/>
        <item x="170"/>
        <item x="150"/>
        <item x="169"/>
        <item x="171"/>
        <item x="161"/>
        <item x="179"/>
        <item x="139"/>
        <item x="162"/>
        <item x="173"/>
        <item x="165"/>
        <item x="175"/>
        <item x="174"/>
        <item x="193"/>
        <item x="182"/>
        <item x="172"/>
        <item x="144"/>
        <item x="177"/>
        <item x="183"/>
        <item x="164"/>
        <item x="167"/>
        <item x="180"/>
        <item x="187"/>
        <item x="168"/>
        <item x="196"/>
        <item x="191"/>
        <item x="192"/>
        <item x="178"/>
        <item x="176"/>
        <item x="189"/>
        <item x="188"/>
        <item x="195"/>
        <item x="181"/>
        <item x="203"/>
        <item x="199"/>
        <item x="184"/>
        <item x="194"/>
        <item x="213"/>
        <item x="186"/>
        <item x="200"/>
        <item x="209"/>
        <item x="205"/>
        <item x="198"/>
        <item x="210"/>
        <item x="201"/>
        <item x="212"/>
        <item x="218"/>
        <item x="197"/>
        <item x="216"/>
        <item x="228"/>
        <item x="223"/>
        <item x="204"/>
        <item x="208"/>
        <item x="214"/>
        <item x="220"/>
        <item x="227"/>
        <item x="217"/>
        <item x="226"/>
        <item x="206"/>
        <item x="219"/>
        <item x="230"/>
        <item x="185"/>
        <item x="211"/>
        <item x="215"/>
        <item x="229"/>
        <item x="190"/>
        <item x="245"/>
        <item x="221"/>
        <item x="234"/>
        <item x="224"/>
        <item x="251"/>
        <item x="247"/>
        <item x="222"/>
        <item x="233"/>
        <item x="238"/>
        <item x="243"/>
        <item x="246"/>
        <item x="244"/>
        <item x="225"/>
        <item x="242"/>
        <item x="236"/>
        <item x="202"/>
        <item x="237"/>
        <item x="248"/>
        <item x="232"/>
        <item x="261"/>
        <item x="239"/>
        <item x="207"/>
        <item x="235"/>
        <item x="259"/>
        <item x="250"/>
        <item x="240"/>
        <item x="254"/>
        <item x="241"/>
        <item x="260"/>
        <item x="253"/>
        <item x="258"/>
        <item x="266"/>
        <item x="276"/>
        <item x="257"/>
        <item x="252"/>
        <item x="249"/>
        <item x="271"/>
        <item x="255"/>
        <item x="231"/>
        <item x="256"/>
        <item x="267"/>
        <item x="273"/>
        <item x="274"/>
        <item x="264"/>
        <item x="265"/>
        <item x="282"/>
        <item x="268"/>
        <item x="263"/>
        <item x="270"/>
        <item x="279"/>
        <item x="269"/>
        <item x="275"/>
        <item x="278"/>
        <item x="288"/>
        <item x="281"/>
        <item x="291"/>
        <item x="290"/>
        <item x="284"/>
        <item x="277"/>
        <item x="283"/>
        <item x="272"/>
        <item x="280"/>
        <item x="294"/>
        <item x="297"/>
        <item x="303"/>
        <item x="287"/>
        <item x="285"/>
        <item x="292"/>
        <item x="293"/>
        <item x="296"/>
        <item x="289"/>
        <item x="300"/>
        <item x="315"/>
        <item x="305"/>
        <item x="295"/>
        <item x="302"/>
        <item x="304"/>
        <item x="316"/>
        <item x="301"/>
        <item x="309"/>
        <item x="299"/>
        <item x="314"/>
        <item x="307"/>
        <item x="322"/>
        <item x="308"/>
        <item x="330"/>
        <item x="311"/>
        <item x="318"/>
        <item x="306"/>
        <item x="286"/>
        <item x="331"/>
        <item x="321"/>
        <item x="325"/>
        <item x="313"/>
        <item x="310"/>
        <item x="326"/>
        <item x="262"/>
        <item x="338"/>
        <item x="319"/>
        <item x="332"/>
        <item x="298"/>
        <item x="323"/>
        <item x="317"/>
        <item x="328"/>
        <item x="340"/>
        <item x="324"/>
        <item x="341"/>
        <item x="348"/>
        <item x="347"/>
        <item x="337"/>
        <item x="329"/>
        <item x="320"/>
        <item x="339"/>
        <item x="345"/>
        <item x="327"/>
        <item x="333"/>
        <item x="336"/>
        <item x="335"/>
        <item x="363"/>
        <item x="334"/>
        <item x="343"/>
        <item x="312"/>
        <item x="351"/>
        <item x="346"/>
        <item x="353"/>
        <item x="342"/>
        <item x="344"/>
        <item x="358"/>
        <item x="352"/>
        <item x="357"/>
        <item x="355"/>
        <item x="362"/>
        <item x="350"/>
        <item x="360"/>
        <item x="365"/>
        <item x="364"/>
        <item x="359"/>
        <item x="361"/>
        <item x="349"/>
        <item x="354"/>
        <item x="356"/>
        <item t="default"/>
      </items>
    </pivotField>
    <pivotField showAll="0"/>
    <pivotField showAll="0"/>
    <pivotField showAll="0"/>
    <pivotField showAll="0"/>
    <pivotField showAll="0"/>
    <pivotField dataField="1" showAll="0">
      <items count="68">
        <item x="40"/>
        <item x="18"/>
        <item x="20"/>
        <item x="41"/>
        <item x="65"/>
        <item x="2"/>
        <item x="8"/>
        <item x="7"/>
        <item x="22"/>
        <item x="56"/>
        <item x="6"/>
        <item x="24"/>
        <item x="43"/>
        <item x="34"/>
        <item x="33"/>
        <item x="10"/>
        <item x="15"/>
        <item x="9"/>
        <item x="28"/>
        <item x="62"/>
        <item x="0"/>
        <item x="5"/>
        <item x="4"/>
        <item x="27"/>
        <item x="66"/>
        <item x="39"/>
        <item x="13"/>
        <item x="42"/>
        <item x="36"/>
        <item x="47"/>
        <item x="46"/>
        <item x="63"/>
        <item x="17"/>
        <item x="38"/>
        <item x="23"/>
        <item x="29"/>
        <item x="53"/>
        <item x="37"/>
        <item x="64"/>
        <item x="11"/>
        <item x="44"/>
        <item x="35"/>
        <item x="49"/>
        <item x="3"/>
        <item x="45"/>
        <item x="31"/>
        <item x="1"/>
        <item x="21"/>
        <item x="16"/>
        <item x="25"/>
        <item x="50"/>
        <item x="12"/>
        <item x="60"/>
        <item x="54"/>
        <item x="55"/>
        <item x="48"/>
        <item x="52"/>
        <item x="26"/>
        <item x="57"/>
        <item x="30"/>
        <item x="32"/>
        <item x="59"/>
        <item x="14"/>
        <item x="58"/>
        <item x="19"/>
        <item x="51"/>
        <item x="61"/>
        <item t="default"/>
      </items>
    </pivotField>
    <pivotField axis="axisPage" multipleItemSelectionAllowed="1" showAll="0">
      <items count="4">
        <item h="1" x="0"/>
        <item h="1" x="1"/>
        <item x="2"/>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dragToRow="0" dragToCol="0" dragToPage="0" showAll="0" defaultSubtotal="0"/>
  </pivotFields>
  <rowFields count="1">
    <field x="6"/>
  </rowFields>
  <rowItems count="20">
    <i>
      <x/>
    </i>
    <i>
      <x v="1"/>
    </i>
    <i>
      <x v="2"/>
    </i>
    <i>
      <x v="3"/>
    </i>
    <i>
      <x v="4"/>
    </i>
    <i>
      <x v="5"/>
    </i>
    <i>
      <x v="6"/>
    </i>
    <i>
      <x v="7"/>
    </i>
    <i>
      <x v="8"/>
    </i>
    <i>
      <x v="9"/>
    </i>
    <i>
      <x v="10"/>
    </i>
    <i>
      <x v="11"/>
    </i>
    <i>
      <x v="12"/>
    </i>
    <i>
      <x v="13"/>
    </i>
    <i>
      <x v="14"/>
    </i>
    <i>
      <x v="15"/>
    </i>
    <i>
      <x v="16"/>
    </i>
    <i>
      <x v="17"/>
    </i>
    <i>
      <x v="18"/>
    </i>
    <i t="grand">
      <x/>
    </i>
  </rowItems>
  <colFields count="1">
    <field x="-2"/>
  </colFields>
  <colItems count="2">
    <i>
      <x/>
    </i>
    <i i="1">
      <x v="1"/>
    </i>
  </colItems>
  <pageFields count="1">
    <pageField fld="20" hier="-1"/>
  </pageFields>
  <dataFields count="2">
    <dataField name="Avg Lead Time (days)" fld="19" subtotal="average" baseField="6" baseItem="6" numFmtId="165"/>
    <dataField name="Std Dev (days)" fld="19" subtotal="stdDev" baseField="6" baseItem="0" numFmtId="165"/>
  </dataFields>
  <formats count="12">
    <format dxfId="129">
      <pivotArea type="all" dataOnly="0" outline="0" fieldPosition="0"/>
    </format>
    <format dxfId="128">
      <pivotArea outline="0" collapsedLevelsAreSubtotals="1" fieldPosition="0"/>
    </format>
    <format dxfId="127">
      <pivotArea field="6" type="button" dataOnly="0" labelOnly="1" outline="0" axis="axisRow" fieldPosition="0"/>
    </format>
    <format dxfId="126">
      <pivotArea dataOnly="0" labelOnly="1" fieldPosition="0">
        <references count="1">
          <reference field="6" count="0"/>
        </references>
      </pivotArea>
    </format>
    <format dxfId="125">
      <pivotArea dataOnly="0" labelOnly="1" grandRow="1" outline="0" fieldPosition="0"/>
    </format>
    <format dxfId="124">
      <pivotArea dataOnly="0" labelOnly="1" outline="0" fieldPosition="0">
        <references count="1">
          <reference field="4294967294" count="2">
            <x v="0"/>
            <x v="1"/>
          </reference>
        </references>
      </pivotArea>
    </format>
    <format dxfId="123">
      <pivotArea type="all" dataOnly="0" outline="0" fieldPosition="0"/>
    </format>
    <format dxfId="122">
      <pivotArea outline="0" collapsedLevelsAreSubtotals="1" fieldPosition="0"/>
    </format>
    <format dxfId="121">
      <pivotArea field="6" type="button" dataOnly="0" labelOnly="1" outline="0" axis="axisRow" fieldPosition="0"/>
    </format>
    <format dxfId="120">
      <pivotArea dataOnly="0" labelOnly="1" fieldPosition="0">
        <references count="1">
          <reference field="6" count="0"/>
        </references>
      </pivotArea>
    </format>
    <format dxfId="119">
      <pivotArea dataOnly="0" labelOnly="1" grandRow="1" outline="0" fieldPosition="0"/>
    </format>
    <format dxfId="118">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DF14EA-2974-4B5E-AA63-C37B8C37F7CD}" name="PivotTable3" cacheId="1" applyNumberFormats="0" applyBorderFormats="0" applyFontFormats="0" applyPatternFormats="0" applyAlignmentFormats="0" applyWidthHeightFormats="1" dataCaption="Values" errorCaption="N/A" showError="1" updatedVersion="8" minRefreshableVersion="3" useAutoFormatting="1" colGrandTotals="0" itemPrintTitles="1" createdVersion="8" indent="0" outline="1" outlineData="1" multipleFieldFilters="0" rowHeaderCaption="Supplier" colHeaderCaption="Receipt Year">
  <location ref="A3:G25" firstHeaderRow="1" firstDataRow="3" firstDataCol="1"/>
  <pivotFields count="14">
    <pivotField showAll="0"/>
    <pivotField showAll="0"/>
    <pivotField numFmtId="14" showAll="0"/>
    <pivotField showAll="0"/>
    <pivotField showAll="0">
      <items count="22">
        <item x="13"/>
        <item x="18"/>
        <item x="10"/>
        <item x="1"/>
        <item x="11"/>
        <item x="7"/>
        <item x="12"/>
        <item x="0"/>
        <item x="20"/>
        <item x="19"/>
        <item x="16"/>
        <item x="4"/>
        <item x="3"/>
        <item x="17"/>
        <item x="14"/>
        <item x="9"/>
        <item x="8"/>
        <item x="5"/>
        <item x="15"/>
        <item x="6"/>
        <item x="2"/>
        <item t="default"/>
      </items>
    </pivotField>
    <pivotField showAll="0"/>
    <pivotField showAll="0"/>
    <pivotField showAll="0"/>
    <pivotField axis="axisRow" showAll="0" sortType="descending">
      <items count="20">
        <item x="4"/>
        <item x="8"/>
        <item x="13"/>
        <item x="15"/>
        <item x="17"/>
        <item x="11"/>
        <item x="14"/>
        <item x="16"/>
        <item x="10"/>
        <item x="12"/>
        <item x="7"/>
        <item x="5"/>
        <item x="9"/>
        <item x="2"/>
        <item x="0"/>
        <item x="18"/>
        <item x="1"/>
        <item x="6"/>
        <item x="3"/>
        <item t="default"/>
      </items>
      <autoSortScope>
        <pivotArea dataOnly="0" outline="0" fieldPosition="0">
          <references count="2">
            <reference field="4294967294" count="1" selected="0">
              <x v="2"/>
            </reference>
            <reference field="12" count="1" selected="0">
              <x v="1"/>
            </reference>
          </references>
        </pivotArea>
      </autoSortScope>
    </pivotField>
    <pivotField dataField="1" showAll="0"/>
    <pivotField dataField="1" showAll="0"/>
    <pivotField showAll="0"/>
    <pivotField axis="axisCol" showAll="0">
      <items count="4">
        <item h="1" x="0"/>
        <item x="1"/>
        <item x="2"/>
        <item t="default"/>
      </items>
    </pivotField>
    <pivotField dataField="1" dragToRow="0" dragToCol="0" dragToPage="0" showAll="0" defaultSubtotal="0"/>
  </pivotFields>
  <rowFields count="1">
    <field x="8"/>
  </rowFields>
  <rowItems count="20">
    <i>
      <x v="2"/>
    </i>
    <i>
      <x v="7"/>
    </i>
    <i>
      <x v="1"/>
    </i>
    <i>
      <x v="6"/>
    </i>
    <i>
      <x v="17"/>
    </i>
    <i>
      <x v="3"/>
    </i>
    <i>
      <x v="12"/>
    </i>
    <i>
      <x v="4"/>
    </i>
    <i>
      <x v="5"/>
    </i>
    <i>
      <x v="11"/>
    </i>
    <i>
      <x/>
    </i>
    <i>
      <x v="8"/>
    </i>
    <i>
      <x v="9"/>
    </i>
    <i>
      <x v="10"/>
    </i>
    <i>
      <x v="18"/>
    </i>
    <i>
      <x v="16"/>
    </i>
    <i>
      <x v="14"/>
    </i>
    <i>
      <x v="13"/>
    </i>
    <i>
      <x v="15"/>
    </i>
    <i t="grand">
      <x/>
    </i>
  </rowItems>
  <colFields count="2">
    <field x="12"/>
    <field x="-2"/>
  </colFields>
  <colItems count="6">
    <i>
      <x v="1"/>
      <x/>
    </i>
    <i r="1" i="1">
      <x v="1"/>
    </i>
    <i r="1" i="2">
      <x v="2"/>
    </i>
    <i>
      <x v="2"/>
      <x/>
    </i>
    <i r="1" i="1">
      <x v="1"/>
    </i>
    <i r="1" i="2">
      <x v="2"/>
    </i>
  </colItems>
  <dataFields count="3">
    <dataField name="Rejected Qty" fld="10" baseField="8" baseItem="0" numFmtId="4"/>
    <dataField name="Received Qty" fld="9" baseField="8" baseItem="0" numFmtId="3"/>
    <dataField name="PPM " fld="13" baseField="8" baseItem="15" numFmtId="3"/>
  </dataFields>
  <formats count="38">
    <format dxfId="117">
      <pivotArea type="all" dataOnly="0" outline="0" fieldPosition="0"/>
    </format>
    <format dxfId="116">
      <pivotArea outline="0" collapsedLevelsAreSubtotals="1" fieldPosition="0"/>
    </format>
    <format dxfId="115">
      <pivotArea type="origin" dataOnly="0" labelOnly="1" outline="0" fieldPosition="0"/>
    </format>
    <format dxfId="114">
      <pivotArea field="12" type="button" dataOnly="0" labelOnly="1" outline="0" axis="axisCol" fieldPosition="0"/>
    </format>
    <format dxfId="113">
      <pivotArea field="-2" type="button" dataOnly="0" labelOnly="1" outline="0" axis="axisCol" fieldPosition="1"/>
    </format>
    <format dxfId="112">
      <pivotArea type="topRight" dataOnly="0" labelOnly="1" outline="0" fieldPosition="0"/>
    </format>
    <format dxfId="111">
      <pivotArea field="8" type="button" dataOnly="0" labelOnly="1" outline="0" axis="axisRow" fieldPosition="0"/>
    </format>
    <format dxfId="110">
      <pivotArea dataOnly="0" labelOnly="1" fieldPosition="0">
        <references count="1">
          <reference field="8" count="0"/>
        </references>
      </pivotArea>
    </format>
    <format dxfId="109">
      <pivotArea dataOnly="0" labelOnly="1" grandRow="1" outline="0" fieldPosition="0"/>
    </format>
    <format dxfId="108">
      <pivotArea dataOnly="0" labelOnly="1" fieldPosition="0">
        <references count="1">
          <reference field="12" count="0"/>
        </references>
      </pivotArea>
    </format>
    <format dxfId="107">
      <pivotArea field="12" dataOnly="0" labelOnly="1" grandCol="1" outline="0" axis="axisCol" fieldPosition="0">
        <references count="1">
          <reference field="4294967294" count="1" selected="0">
            <x v="1"/>
          </reference>
        </references>
      </pivotArea>
    </format>
    <format dxfId="106">
      <pivotArea field="12" dataOnly="0" labelOnly="1" grandCol="1" outline="0" axis="axisCol" fieldPosition="0">
        <references count="1">
          <reference field="4294967294" count="1" selected="0">
            <x v="0"/>
          </reference>
        </references>
      </pivotArea>
    </format>
    <format dxfId="105">
      <pivotArea dataOnly="0" labelOnly="1" outline="0" fieldPosition="0">
        <references count="2">
          <reference field="4294967294" count="2">
            <x v="0"/>
            <x v="1"/>
          </reference>
          <reference field="12" count="1" selected="0">
            <x v="0"/>
          </reference>
        </references>
      </pivotArea>
    </format>
    <format dxfId="104">
      <pivotArea dataOnly="0" labelOnly="1" outline="0" fieldPosition="0">
        <references count="2">
          <reference field="4294967294" count="2">
            <x v="0"/>
            <x v="1"/>
          </reference>
          <reference field="12" count="1" selected="0">
            <x v="1"/>
          </reference>
        </references>
      </pivotArea>
    </format>
    <format dxfId="103">
      <pivotArea dataOnly="0" labelOnly="1" outline="0" fieldPosition="0">
        <references count="2">
          <reference field="4294967294" count="2">
            <x v="0"/>
            <x v="1"/>
          </reference>
          <reference field="12" count="1" selected="0">
            <x v="2"/>
          </reference>
        </references>
      </pivotArea>
    </format>
    <format dxfId="102">
      <pivotArea type="all" dataOnly="0" outline="0" fieldPosition="0"/>
    </format>
    <format dxfId="101">
      <pivotArea outline="0" collapsedLevelsAreSubtotals="1" fieldPosition="0"/>
    </format>
    <format dxfId="100">
      <pivotArea type="origin" dataOnly="0" labelOnly="1" outline="0" fieldPosition="0"/>
    </format>
    <format dxfId="99">
      <pivotArea field="12" type="button" dataOnly="0" labelOnly="1" outline="0" axis="axisCol" fieldPosition="0"/>
    </format>
    <format dxfId="98">
      <pivotArea field="-2" type="button" dataOnly="0" labelOnly="1" outline="0" axis="axisCol" fieldPosition="1"/>
    </format>
    <format dxfId="97">
      <pivotArea type="topRight" dataOnly="0" labelOnly="1" outline="0" fieldPosition="0"/>
    </format>
    <format dxfId="96">
      <pivotArea field="8" type="button" dataOnly="0" labelOnly="1" outline="0" axis="axisRow" fieldPosition="0"/>
    </format>
    <format dxfId="95">
      <pivotArea dataOnly="0" labelOnly="1" fieldPosition="0">
        <references count="1">
          <reference field="8" count="0"/>
        </references>
      </pivotArea>
    </format>
    <format dxfId="94">
      <pivotArea dataOnly="0" labelOnly="1" grandRow="1" outline="0" fieldPosition="0"/>
    </format>
    <format dxfId="93">
      <pivotArea dataOnly="0" labelOnly="1" fieldPosition="0">
        <references count="1">
          <reference field="12" count="0"/>
        </references>
      </pivotArea>
    </format>
    <format dxfId="92">
      <pivotArea field="12" dataOnly="0" labelOnly="1" grandCol="1" outline="0" axis="axisCol" fieldPosition="0">
        <references count="1">
          <reference field="4294967294" count="1" selected="0">
            <x v="1"/>
          </reference>
        </references>
      </pivotArea>
    </format>
    <format dxfId="91">
      <pivotArea field="12" dataOnly="0" labelOnly="1" grandCol="1" outline="0" axis="axisCol" fieldPosition="0">
        <references count="1">
          <reference field="4294967294" count="1" selected="0">
            <x v="1"/>
          </reference>
        </references>
      </pivotArea>
    </format>
    <format dxfId="90">
      <pivotArea field="12" dataOnly="0" labelOnly="1" grandCol="1" outline="0" axis="axisCol" fieldPosition="0">
        <references count="1">
          <reference field="4294967294" count="1" selected="0">
            <x v="0"/>
          </reference>
        </references>
      </pivotArea>
    </format>
    <format dxfId="89">
      <pivotArea field="12" dataOnly="0" labelOnly="1" grandCol="1" outline="0" axis="axisCol" fieldPosition="0">
        <references count="1">
          <reference field="4294967294" count="1" selected="0">
            <x v="0"/>
          </reference>
        </references>
      </pivotArea>
    </format>
    <format dxfId="88">
      <pivotArea dataOnly="0" labelOnly="1" outline="0" fieldPosition="0">
        <references count="2">
          <reference field="4294967294" count="2">
            <x v="0"/>
            <x v="1"/>
          </reference>
          <reference field="12" count="1" selected="0">
            <x v="0"/>
          </reference>
        </references>
      </pivotArea>
    </format>
    <format dxfId="87">
      <pivotArea dataOnly="0" labelOnly="1" outline="0" fieldPosition="0">
        <references count="2">
          <reference field="4294967294" count="2">
            <x v="0"/>
            <x v="1"/>
          </reference>
          <reference field="12" count="1" selected="0">
            <x v="1"/>
          </reference>
        </references>
      </pivotArea>
    </format>
    <format dxfId="86">
      <pivotArea dataOnly="0" labelOnly="1" outline="0" fieldPosition="0">
        <references count="2">
          <reference field="4294967294" count="2">
            <x v="0"/>
            <x v="1"/>
          </reference>
          <reference field="12" count="1" selected="0">
            <x v="2"/>
          </reference>
        </references>
      </pivotArea>
    </format>
    <format dxfId="85">
      <pivotArea collapsedLevelsAreSubtotals="1" fieldPosition="0">
        <references count="1">
          <reference field="8" count="0"/>
        </references>
      </pivotArea>
    </format>
    <format dxfId="84">
      <pivotArea collapsedLevelsAreSubtotals="1" fieldPosition="0">
        <references count="3">
          <reference field="4294967294" count="1" selected="0">
            <x v="2"/>
          </reference>
          <reference field="8" count="0"/>
          <reference field="12" count="1" selected="0">
            <x v="0"/>
          </reference>
        </references>
      </pivotArea>
    </format>
    <format dxfId="83">
      <pivotArea collapsedLevelsAreSubtotals="1" fieldPosition="0">
        <references count="3">
          <reference field="4294967294" count="1" selected="0">
            <x v="2"/>
          </reference>
          <reference field="8" count="0"/>
          <reference field="12" count="1" selected="0">
            <x v="1"/>
          </reference>
        </references>
      </pivotArea>
    </format>
    <format dxfId="82">
      <pivotArea collapsedLevelsAreSubtotals="1" fieldPosition="0">
        <references count="3">
          <reference field="4294967294" count="1" selected="0">
            <x v="2"/>
          </reference>
          <reference field="8" count="0"/>
          <reference field="12" count="1" selected="0">
            <x v="2"/>
          </reference>
        </references>
      </pivotArea>
    </format>
    <format dxfId="81">
      <pivotArea field="8" grandCol="1" collapsedLevelsAreSubtotals="1" axis="axisRow" fieldPosition="0">
        <references count="2">
          <reference field="4294967294" count="1" selected="0">
            <x v="2"/>
          </reference>
          <reference field="8" count="0"/>
        </references>
      </pivotArea>
    </format>
    <format dxfId="80">
      <pivotArea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7EF125-8F69-4FF0-8EAB-869484EE1F92}" name="PivotTable4" cacheId="0" applyNumberFormats="0" applyBorderFormats="0" applyFontFormats="0" applyPatternFormats="0" applyAlignmentFormats="0" applyWidthHeightFormats="1" dataCaption="Values" errorCaption="N/A" showError="1" updatedVersion="8" minRefreshableVersion="3" itemPrintTitles="1" createdVersion="8" indent="0" outline="1" outlineData="1" multipleFieldFilters="0" rowHeaderCaption="Supplier" colHeaderCaption="Order Year">
  <location ref="A3:J25" firstHeaderRow="1" firstDataRow="3" firstDataCol="1"/>
  <pivotFields count="29">
    <pivotField showAll="0"/>
    <pivotField showAll="0"/>
    <pivotField showAll="0">
      <items count="22">
        <item x="0"/>
        <item x="1"/>
        <item x="10"/>
        <item x="11"/>
        <item x="16"/>
        <item x="8"/>
        <item x="17"/>
        <item x="13"/>
        <item x="15"/>
        <item x="12"/>
        <item x="19"/>
        <item x="20"/>
        <item x="14"/>
        <item x="3"/>
        <item x="4"/>
        <item x="9"/>
        <item x="6"/>
        <item x="2"/>
        <item x="5"/>
        <item x="7"/>
        <item x="18"/>
        <item t="default"/>
      </items>
    </pivotField>
    <pivotField showAll="0"/>
    <pivotField showAll="0"/>
    <pivotField showAll="0"/>
    <pivotField axis="axisRow" showAll="0">
      <items count="20">
        <item x="16"/>
        <item x="7"/>
        <item x="3"/>
        <item x="9"/>
        <item x="17"/>
        <item x="4"/>
        <item x="1"/>
        <item x="12"/>
        <item x="0"/>
        <item x="15"/>
        <item x="5"/>
        <item x="2"/>
        <item x="13"/>
        <item x="14"/>
        <item x="10"/>
        <item x="18"/>
        <item x="8"/>
        <item x="6"/>
        <item x="11"/>
        <item t="default"/>
      </items>
    </pivotField>
    <pivotField numFmtId="14" showAll="0"/>
    <pivotField numFmtId="14" showAll="0"/>
    <pivotField showAll="0"/>
    <pivotField showAll="0"/>
    <pivotField showAll="0"/>
    <pivotField numFmtId="14" showAll="0"/>
    <pivotField numFmtId="14" showAll="0">
      <items count="367">
        <item x="17"/>
        <item x="2"/>
        <item x="7"/>
        <item x="6"/>
        <item x="9"/>
        <item x="8"/>
        <item x="15"/>
        <item x="4"/>
        <item x="0"/>
        <item x="5"/>
        <item x="12"/>
        <item x="16"/>
        <item x="10"/>
        <item x="27"/>
        <item x="3"/>
        <item x="22"/>
        <item x="26"/>
        <item x="14"/>
        <item x="1"/>
        <item x="11"/>
        <item x="29"/>
        <item x="28"/>
        <item x="33"/>
        <item x="20"/>
        <item x="25"/>
        <item x="24"/>
        <item x="19"/>
        <item x="42"/>
        <item x="23"/>
        <item x="47"/>
        <item x="30"/>
        <item x="21"/>
        <item x="46"/>
        <item x="41"/>
        <item x="44"/>
        <item x="31"/>
        <item x="38"/>
        <item x="48"/>
        <item x="49"/>
        <item x="13"/>
        <item x="45"/>
        <item x="43"/>
        <item x="35"/>
        <item x="52"/>
        <item x="51"/>
        <item x="18"/>
        <item x="39"/>
        <item x="64"/>
        <item x="55"/>
        <item x="50"/>
        <item x="36"/>
        <item x="56"/>
        <item x="59"/>
        <item x="37"/>
        <item x="32"/>
        <item x="62"/>
        <item x="61"/>
        <item x="53"/>
        <item x="69"/>
        <item x="40"/>
        <item x="57"/>
        <item x="73"/>
        <item x="54"/>
        <item x="65"/>
        <item x="71"/>
        <item x="60"/>
        <item x="58"/>
        <item x="74"/>
        <item x="63"/>
        <item x="34"/>
        <item x="78"/>
        <item x="68"/>
        <item x="79"/>
        <item x="88"/>
        <item x="75"/>
        <item x="76"/>
        <item x="84"/>
        <item x="81"/>
        <item x="77"/>
        <item x="67"/>
        <item x="87"/>
        <item x="70"/>
        <item x="86"/>
        <item x="97"/>
        <item x="80"/>
        <item x="72"/>
        <item x="93"/>
        <item x="92"/>
        <item x="96"/>
        <item x="101"/>
        <item x="83"/>
        <item x="90"/>
        <item x="95"/>
        <item x="85"/>
        <item x="66"/>
        <item x="94"/>
        <item x="99"/>
        <item x="89"/>
        <item x="109"/>
        <item x="98"/>
        <item x="100"/>
        <item x="103"/>
        <item x="119"/>
        <item x="105"/>
        <item x="114"/>
        <item x="108"/>
        <item x="106"/>
        <item x="107"/>
        <item x="102"/>
        <item x="82"/>
        <item x="118"/>
        <item x="113"/>
        <item x="120"/>
        <item x="121"/>
        <item x="110"/>
        <item x="104"/>
        <item x="112"/>
        <item x="127"/>
        <item x="111"/>
        <item x="117"/>
        <item x="91"/>
        <item x="126"/>
        <item x="115"/>
        <item x="125"/>
        <item x="128"/>
        <item x="116"/>
        <item x="134"/>
        <item x="135"/>
        <item x="122"/>
        <item x="129"/>
        <item x="123"/>
        <item x="146"/>
        <item x="138"/>
        <item x="132"/>
        <item x="131"/>
        <item x="147"/>
        <item x="130"/>
        <item x="140"/>
        <item x="133"/>
        <item x="145"/>
        <item x="151"/>
        <item x="141"/>
        <item x="137"/>
        <item x="136"/>
        <item x="152"/>
        <item x="160"/>
        <item x="154"/>
        <item x="142"/>
        <item x="153"/>
        <item x="156"/>
        <item x="143"/>
        <item x="155"/>
        <item x="124"/>
        <item x="159"/>
        <item x="148"/>
        <item x="149"/>
        <item x="166"/>
        <item x="157"/>
        <item x="163"/>
        <item x="158"/>
        <item x="170"/>
        <item x="150"/>
        <item x="169"/>
        <item x="171"/>
        <item x="161"/>
        <item x="179"/>
        <item x="139"/>
        <item x="162"/>
        <item x="173"/>
        <item x="165"/>
        <item x="175"/>
        <item x="174"/>
        <item x="193"/>
        <item x="182"/>
        <item x="172"/>
        <item x="144"/>
        <item x="177"/>
        <item x="183"/>
        <item x="164"/>
        <item x="167"/>
        <item x="180"/>
        <item x="187"/>
        <item x="168"/>
        <item x="196"/>
        <item x="191"/>
        <item x="192"/>
        <item x="178"/>
        <item x="176"/>
        <item x="189"/>
        <item x="188"/>
        <item x="195"/>
        <item x="181"/>
        <item x="203"/>
        <item x="199"/>
        <item x="184"/>
        <item x="194"/>
        <item x="213"/>
        <item x="186"/>
        <item x="200"/>
        <item x="209"/>
        <item x="205"/>
        <item x="198"/>
        <item x="210"/>
        <item x="201"/>
        <item x="212"/>
        <item x="218"/>
        <item x="197"/>
        <item x="216"/>
        <item x="228"/>
        <item x="223"/>
        <item x="204"/>
        <item x="208"/>
        <item x="214"/>
        <item x="220"/>
        <item x="227"/>
        <item x="217"/>
        <item x="226"/>
        <item x="206"/>
        <item x="219"/>
        <item x="230"/>
        <item x="185"/>
        <item x="211"/>
        <item x="215"/>
        <item x="229"/>
        <item x="190"/>
        <item x="245"/>
        <item x="221"/>
        <item x="234"/>
        <item x="224"/>
        <item x="251"/>
        <item x="247"/>
        <item x="222"/>
        <item x="233"/>
        <item x="238"/>
        <item x="243"/>
        <item x="246"/>
        <item x="244"/>
        <item x="225"/>
        <item x="242"/>
        <item x="236"/>
        <item x="202"/>
        <item x="237"/>
        <item x="248"/>
        <item x="232"/>
        <item x="261"/>
        <item x="239"/>
        <item x="207"/>
        <item x="235"/>
        <item x="259"/>
        <item x="250"/>
        <item x="240"/>
        <item x="254"/>
        <item x="241"/>
        <item x="260"/>
        <item x="253"/>
        <item x="258"/>
        <item x="266"/>
        <item x="276"/>
        <item x="257"/>
        <item x="252"/>
        <item x="249"/>
        <item x="271"/>
        <item x="255"/>
        <item x="231"/>
        <item x="256"/>
        <item x="267"/>
        <item x="273"/>
        <item x="274"/>
        <item x="264"/>
        <item x="265"/>
        <item x="282"/>
        <item x="268"/>
        <item x="263"/>
        <item x="270"/>
        <item x="279"/>
        <item x="269"/>
        <item x="275"/>
        <item x="278"/>
        <item x="288"/>
        <item x="281"/>
        <item x="291"/>
        <item x="290"/>
        <item x="284"/>
        <item x="277"/>
        <item x="283"/>
        <item x="272"/>
        <item x="280"/>
        <item x="294"/>
        <item x="297"/>
        <item x="303"/>
        <item x="287"/>
        <item x="285"/>
        <item x="292"/>
        <item x="293"/>
        <item x="296"/>
        <item x="289"/>
        <item x="300"/>
        <item x="315"/>
        <item x="305"/>
        <item x="295"/>
        <item x="302"/>
        <item x="304"/>
        <item x="316"/>
        <item x="301"/>
        <item x="309"/>
        <item x="299"/>
        <item x="314"/>
        <item x="307"/>
        <item x="322"/>
        <item x="308"/>
        <item x="330"/>
        <item x="311"/>
        <item x="318"/>
        <item x="306"/>
        <item x="286"/>
        <item x="331"/>
        <item x="321"/>
        <item x="325"/>
        <item x="313"/>
        <item x="310"/>
        <item x="326"/>
        <item x="262"/>
        <item x="338"/>
        <item x="319"/>
        <item x="332"/>
        <item x="298"/>
        <item x="323"/>
        <item x="317"/>
        <item x="328"/>
        <item x="340"/>
        <item x="324"/>
        <item x="341"/>
        <item x="348"/>
        <item x="347"/>
        <item x="337"/>
        <item x="329"/>
        <item x="320"/>
        <item x="339"/>
        <item x="345"/>
        <item x="327"/>
        <item x="333"/>
        <item x="336"/>
        <item x="335"/>
        <item x="363"/>
        <item x="334"/>
        <item x="343"/>
        <item x="312"/>
        <item x="351"/>
        <item x="346"/>
        <item x="353"/>
        <item x="342"/>
        <item x="344"/>
        <item x="358"/>
        <item x="352"/>
        <item x="357"/>
        <item x="355"/>
        <item x="362"/>
        <item x="350"/>
        <item x="360"/>
        <item x="365"/>
        <item x="364"/>
        <item x="359"/>
        <item x="361"/>
        <item x="349"/>
        <item x="354"/>
        <item x="356"/>
        <item t="default"/>
      </items>
    </pivotField>
    <pivotField showAll="0"/>
    <pivotField showAll="0"/>
    <pivotField showAll="0"/>
    <pivotField showAll="0"/>
    <pivotField showAll="0"/>
    <pivotField showAll="0"/>
    <pivotField axis="axisCol" showAll="0">
      <items count="4">
        <item h="1" x="0"/>
        <item x="1"/>
        <item x="2"/>
        <item t="default"/>
      </items>
    </pivotField>
    <pivotField showAll="0"/>
    <pivotField showAll="0"/>
    <pivotField dataField="1" showAll="0"/>
    <pivotField dataField="1" showAll="0"/>
    <pivotField showAll="0" defaultSubtotal="0"/>
    <pivotField showAll="0" defaultSubtotal="0"/>
    <pivotField showAll="0" defaultSubtotal="0">
      <items count="6">
        <item x="0"/>
        <item x="1"/>
        <item x="2"/>
        <item x="3"/>
        <item x="4"/>
        <item x="5"/>
      </items>
    </pivotField>
    <pivotField dataField="1" dragToRow="0" dragToCol="0" dragToPage="0" showAll="0" defaultSubtotal="0"/>
  </pivotFields>
  <rowFields count="1">
    <field x="6"/>
  </rowFields>
  <rowItems count="20">
    <i>
      <x/>
    </i>
    <i>
      <x v="1"/>
    </i>
    <i>
      <x v="2"/>
    </i>
    <i>
      <x v="3"/>
    </i>
    <i>
      <x v="4"/>
    </i>
    <i>
      <x v="5"/>
    </i>
    <i>
      <x v="6"/>
    </i>
    <i>
      <x v="7"/>
    </i>
    <i>
      <x v="8"/>
    </i>
    <i>
      <x v="9"/>
    </i>
    <i>
      <x v="10"/>
    </i>
    <i>
      <x v="11"/>
    </i>
    <i>
      <x v="12"/>
    </i>
    <i>
      <x v="13"/>
    </i>
    <i>
      <x v="14"/>
    </i>
    <i>
      <x v="15"/>
    </i>
    <i>
      <x v="16"/>
    </i>
    <i>
      <x v="17"/>
    </i>
    <i>
      <x v="18"/>
    </i>
    <i t="grand">
      <x/>
    </i>
  </rowItems>
  <colFields count="2">
    <field x="20"/>
    <field x="-2"/>
  </colFields>
  <colItems count="9">
    <i>
      <x v="1"/>
      <x/>
    </i>
    <i r="1" i="1">
      <x v="1"/>
    </i>
    <i r="1" i="2">
      <x v="2"/>
    </i>
    <i>
      <x v="2"/>
      <x/>
    </i>
    <i r="1" i="1">
      <x v="1"/>
    </i>
    <i r="1" i="2">
      <x v="2"/>
    </i>
    <i t="grand">
      <x/>
    </i>
    <i t="grand" i="1">
      <x/>
    </i>
    <i t="grand" i="2">
      <x/>
    </i>
  </colItems>
  <dataFields count="3">
    <dataField name="PPV ($)" fld="24" baseField="6" baseItem="5" numFmtId="166"/>
    <dataField name="Std Value ($)" fld="23" baseField="6" baseItem="5" numFmtId="166"/>
    <dataField name="PPV %" fld="28" baseField="6" baseItem="5" numFmtId="164"/>
  </dataFields>
  <formats count="36">
    <format dxfId="79">
      <pivotArea collapsedLevelsAreSubtotals="1" fieldPosition="0">
        <references count="1">
          <reference field="6" count="0"/>
        </references>
      </pivotArea>
    </format>
    <format dxfId="78">
      <pivotArea collapsedLevelsAreSubtotals="1" fieldPosition="0">
        <references count="3">
          <reference field="4294967294" count="1" selected="0">
            <x v="2"/>
          </reference>
          <reference field="6" count="0"/>
          <reference field="20" count="1" selected="0">
            <x v="1"/>
          </reference>
        </references>
      </pivotArea>
    </format>
    <format dxfId="77">
      <pivotArea collapsedLevelsAreSubtotals="1" fieldPosition="0">
        <references count="3">
          <reference field="4294967294" count="1" selected="0">
            <x v="2"/>
          </reference>
          <reference field="6" count="0"/>
          <reference field="20" count="1" selected="0">
            <x v="2"/>
          </reference>
        </references>
      </pivotArea>
    </format>
    <format dxfId="76">
      <pivotArea field="6" grandCol="1" collapsedLevelsAreSubtotals="1" axis="axisRow" fieldPosition="0">
        <references count="2">
          <reference field="4294967294" count="1" selected="0">
            <x v="2"/>
          </reference>
          <reference field="6" count="0"/>
        </references>
      </pivotArea>
    </format>
    <format dxfId="75">
      <pivotArea type="all" dataOnly="0" outline="0" fieldPosition="0"/>
    </format>
    <format dxfId="74">
      <pivotArea outline="0" collapsedLevelsAreSubtotals="1" fieldPosition="0"/>
    </format>
    <format dxfId="73">
      <pivotArea type="origin" dataOnly="0" labelOnly="1" outline="0" fieldPosition="0"/>
    </format>
    <format dxfId="72">
      <pivotArea field="20" type="button" dataOnly="0" labelOnly="1" outline="0" axis="axisCol" fieldPosition="0"/>
    </format>
    <format dxfId="71">
      <pivotArea field="-2" type="button" dataOnly="0" labelOnly="1" outline="0" axis="axisCol" fieldPosition="1"/>
    </format>
    <format dxfId="70">
      <pivotArea type="topRight" dataOnly="0" labelOnly="1" outline="0" fieldPosition="0"/>
    </format>
    <format dxfId="69">
      <pivotArea field="6" type="button" dataOnly="0" labelOnly="1" outline="0" axis="axisRow" fieldPosition="0"/>
    </format>
    <format dxfId="68">
      <pivotArea dataOnly="0" labelOnly="1" fieldPosition="0">
        <references count="1">
          <reference field="6" count="0"/>
        </references>
      </pivotArea>
    </format>
    <format dxfId="67">
      <pivotArea dataOnly="0" labelOnly="1" grandRow="1" outline="0" fieldPosition="0"/>
    </format>
    <format dxfId="66">
      <pivotArea dataOnly="0" labelOnly="1" fieldPosition="0">
        <references count="1">
          <reference field="20" count="0"/>
        </references>
      </pivotArea>
    </format>
    <format dxfId="65">
      <pivotArea field="20" dataOnly="0" labelOnly="1" grandCol="1" outline="0" axis="axisCol" fieldPosition="0">
        <references count="1">
          <reference field="4294967294" count="1" selected="0">
            <x v="0"/>
          </reference>
        </references>
      </pivotArea>
    </format>
    <format dxfId="64">
      <pivotArea field="20" dataOnly="0" labelOnly="1" grandCol="1" outline="0" axis="axisCol" fieldPosition="0">
        <references count="1">
          <reference field="4294967294" count="1" selected="0">
            <x v="1"/>
          </reference>
        </references>
      </pivotArea>
    </format>
    <format dxfId="63">
      <pivotArea field="20" dataOnly="0" labelOnly="1" grandCol="1" outline="0" axis="axisCol" fieldPosition="0">
        <references count="1">
          <reference field="4294967294" count="1" selected="0">
            <x v="2"/>
          </reference>
        </references>
      </pivotArea>
    </format>
    <format dxfId="62">
      <pivotArea dataOnly="0" labelOnly="1" outline="0" fieldPosition="0">
        <references count="2">
          <reference field="4294967294" count="3">
            <x v="0"/>
            <x v="1"/>
            <x v="2"/>
          </reference>
          <reference field="20" count="1" selected="0">
            <x v="1"/>
          </reference>
        </references>
      </pivotArea>
    </format>
    <format dxfId="61">
      <pivotArea dataOnly="0" labelOnly="1" outline="0" fieldPosition="0">
        <references count="2">
          <reference field="4294967294" count="3">
            <x v="0"/>
            <x v="1"/>
            <x v="2"/>
          </reference>
          <reference field="20" count="1" selected="0">
            <x v="2"/>
          </reference>
        </references>
      </pivotArea>
    </format>
    <format dxfId="60">
      <pivotArea type="all" dataOnly="0" outline="0" fieldPosition="0"/>
    </format>
    <format dxfId="59">
      <pivotArea outline="0" collapsedLevelsAreSubtotals="1" fieldPosition="0"/>
    </format>
    <format dxfId="58">
      <pivotArea type="origin" dataOnly="0" labelOnly="1" outline="0" fieldPosition="0"/>
    </format>
    <format dxfId="57">
      <pivotArea field="20" type="button" dataOnly="0" labelOnly="1" outline="0" axis="axisCol" fieldPosition="0"/>
    </format>
    <format dxfId="56">
      <pivotArea field="-2" type="button" dataOnly="0" labelOnly="1" outline="0" axis="axisCol" fieldPosition="1"/>
    </format>
    <format dxfId="55">
      <pivotArea type="topRight" dataOnly="0" labelOnly="1" outline="0" fieldPosition="0"/>
    </format>
    <format dxfId="54">
      <pivotArea field="6" type="button" dataOnly="0" labelOnly="1" outline="0" axis="axisRow" fieldPosition="0"/>
    </format>
    <format dxfId="53">
      <pivotArea dataOnly="0" labelOnly="1" fieldPosition="0">
        <references count="1">
          <reference field="6" count="0"/>
        </references>
      </pivotArea>
    </format>
    <format dxfId="52">
      <pivotArea dataOnly="0" labelOnly="1" grandRow="1" outline="0" fieldPosition="0"/>
    </format>
    <format dxfId="51">
      <pivotArea dataOnly="0" labelOnly="1" fieldPosition="0">
        <references count="1">
          <reference field="20" count="0"/>
        </references>
      </pivotArea>
    </format>
    <format dxfId="50">
      <pivotArea field="20" dataOnly="0" labelOnly="1" grandCol="1" outline="0" axis="axisCol" fieldPosition="0">
        <references count="1">
          <reference field="4294967294" count="1" selected="0">
            <x v="0"/>
          </reference>
        </references>
      </pivotArea>
    </format>
    <format dxfId="49">
      <pivotArea field="20" dataOnly="0" labelOnly="1" grandCol="1" outline="0" axis="axisCol" fieldPosition="0">
        <references count="1">
          <reference field="4294967294" count="1" selected="0">
            <x v="1"/>
          </reference>
        </references>
      </pivotArea>
    </format>
    <format dxfId="48">
      <pivotArea field="20" dataOnly="0" labelOnly="1" grandCol="1" outline="0" axis="axisCol" fieldPosition="0">
        <references count="1">
          <reference field="4294967294" count="1" selected="0">
            <x v="2"/>
          </reference>
        </references>
      </pivotArea>
    </format>
    <format dxfId="47">
      <pivotArea dataOnly="0" labelOnly="1" outline="0" fieldPosition="0">
        <references count="2">
          <reference field="4294967294" count="3">
            <x v="0"/>
            <x v="1"/>
            <x v="2"/>
          </reference>
          <reference field="20" count="1" selected="0">
            <x v="1"/>
          </reference>
        </references>
      </pivotArea>
    </format>
    <format dxfId="46">
      <pivotArea dataOnly="0" labelOnly="1" outline="0" fieldPosition="0">
        <references count="2">
          <reference field="4294967294" count="3">
            <x v="0"/>
            <x v="1"/>
            <x v="2"/>
          </reference>
          <reference field="20" count="1" selected="0">
            <x v="2"/>
          </reference>
        </references>
      </pivotArea>
    </format>
    <format dxfId="45">
      <pivotArea outline="0" fieldPosition="0">
        <references count="1">
          <reference field="4294967294" count="1">
            <x v="0"/>
          </reference>
        </references>
      </pivotArea>
    </format>
    <format dxfId="44">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E5359A-E109-4BFF-BAA0-4CD429F1B8F8}"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ourcing Event" colHeaderCaption="Award Year">
  <location ref="A3:G22" firstHeaderRow="1" firstDataRow="3" firstDataCol="1"/>
  <pivotFields count="16">
    <pivotField showAll="0"/>
    <pivotField axis="axisRow" showAll="0">
      <items count="5">
        <item x="3"/>
        <item x="2"/>
        <item x="1"/>
        <item x="0"/>
        <item t="default"/>
      </items>
    </pivotField>
    <pivotField showAll="0"/>
    <pivotField axis="axisRow" showAll="0">
      <items count="15">
        <item x="0"/>
        <item x="6"/>
        <item x="11"/>
        <item x="5"/>
        <item x="4"/>
        <item x="12"/>
        <item x="8"/>
        <item x="9"/>
        <item x="13"/>
        <item x="2"/>
        <item x="3"/>
        <item x="7"/>
        <item x="10"/>
        <item x="1"/>
        <item t="default"/>
      </items>
    </pivotField>
    <pivotField numFmtId="14" showAll="0"/>
    <pivotField showAll="0"/>
    <pivotField showAll="0"/>
    <pivotField showAll="0"/>
    <pivotField showAll="0"/>
    <pivotField showAll="0"/>
    <pivotField showAll="0"/>
    <pivotField showAll="0"/>
    <pivotField showAll="0"/>
    <pivotField dataField="1" showAll="0"/>
    <pivotField dataField="1" showAll="0"/>
    <pivotField axis="axisCol" showAll="0">
      <items count="4">
        <item x="0"/>
        <item x="1"/>
        <item h="1" x="2"/>
        <item t="default"/>
      </items>
    </pivotField>
  </pivotFields>
  <rowFields count="2">
    <field x="1"/>
    <field x="3"/>
  </rowFields>
  <rowItems count="17">
    <i>
      <x/>
    </i>
    <i r="1">
      <x v="2"/>
    </i>
    <i r="1">
      <x v="5"/>
    </i>
    <i r="1">
      <x v="8"/>
    </i>
    <i r="1">
      <x v="12"/>
    </i>
    <i>
      <x v="2"/>
    </i>
    <i r="1">
      <x v="1"/>
    </i>
    <i r="1">
      <x v="10"/>
    </i>
    <i>
      <x v="3"/>
    </i>
    <i r="1">
      <x/>
    </i>
    <i r="1">
      <x v="3"/>
    </i>
    <i r="1">
      <x v="4"/>
    </i>
    <i r="1">
      <x v="6"/>
    </i>
    <i r="1">
      <x v="9"/>
    </i>
    <i r="1">
      <x v="11"/>
    </i>
    <i r="1">
      <x v="13"/>
    </i>
    <i t="grand">
      <x/>
    </i>
  </rowItems>
  <colFields count="2">
    <field x="15"/>
    <field x="-2"/>
  </colFields>
  <colItems count="6">
    <i>
      <x/>
      <x/>
    </i>
    <i r="1" i="1">
      <x v="1"/>
    </i>
    <i>
      <x v="1"/>
      <x/>
    </i>
    <i r="1" i="1">
      <x v="1"/>
    </i>
    <i t="grand">
      <x/>
    </i>
    <i t="grand" i="1">
      <x/>
    </i>
  </colItems>
  <dataFields count="2">
    <dataField name="Cost Savings ($)" fld="13" baseField="1" baseItem="0" numFmtId="166"/>
    <dataField name="Cost Avoidance ($)" fld="14" baseField="1" baseItem="0" numFmtId="166"/>
  </dataFields>
  <formats count="38">
    <format dxfId="43">
      <pivotArea type="all" dataOnly="0" outline="0" fieldPosition="0"/>
    </format>
    <format dxfId="42">
      <pivotArea outline="0" collapsedLevelsAreSubtotals="1" fieldPosition="0"/>
    </format>
    <format dxfId="41">
      <pivotArea type="origin" dataOnly="0" labelOnly="1" outline="0" fieldPosition="0"/>
    </format>
    <format dxfId="40">
      <pivotArea field="15" type="button" dataOnly="0" labelOnly="1" outline="0" axis="axisCol" fieldPosition="0"/>
    </format>
    <format dxfId="39">
      <pivotArea field="-2" type="button" dataOnly="0" labelOnly="1" outline="0" axis="axisCol" fieldPosition="1"/>
    </format>
    <format dxfId="38">
      <pivotArea type="topRight" dataOnly="0" labelOnly="1" outline="0" fieldPosition="0"/>
    </format>
    <format dxfId="37">
      <pivotArea field="1" type="button" dataOnly="0" labelOnly="1" outline="0" axis="axisRow" fieldPosition="0"/>
    </format>
    <format dxfId="36">
      <pivotArea dataOnly="0" labelOnly="1" fieldPosition="0">
        <references count="1">
          <reference field="1" count="0"/>
        </references>
      </pivotArea>
    </format>
    <format dxfId="35">
      <pivotArea dataOnly="0" labelOnly="1" grandRow="1" outline="0" fieldPosition="0"/>
    </format>
    <format dxfId="34">
      <pivotArea dataOnly="0" labelOnly="1" fieldPosition="0">
        <references count="2">
          <reference field="1" count="1" selected="0">
            <x v="0"/>
          </reference>
          <reference field="3" count="4">
            <x v="2"/>
            <x v="5"/>
            <x v="8"/>
            <x v="12"/>
          </reference>
        </references>
      </pivotArea>
    </format>
    <format dxfId="33">
      <pivotArea dataOnly="0" labelOnly="1" fieldPosition="0">
        <references count="2">
          <reference field="1" count="1" selected="0">
            <x v="1"/>
          </reference>
          <reference field="3" count="1">
            <x v="7"/>
          </reference>
        </references>
      </pivotArea>
    </format>
    <format dxfId="32">
      <pivotArea dataOnly="0" labelOnly="1" fieldPosition="0">
        <references count="2">
          <reference field="1" count="1" selected="0">
            <x v="2"/>
          </reference>
          <reference field="3" count="2">
            <x v="1"/>
            <x v="10"/>
          </reference>
        </references>
      </pivotArea>
    </format>
    <format dxfId="31">
      <pivotArea dataOnly="0" labelOnly="1" fieldPosition="0">
        <references count="2">
          <reference field="1" count="1" selected="0">
            <x v="3"/>
          </reference>
          <reference field="3" count="7">
            <x v="0"/>
            <x v="3"/>
            <x v="4"/>
            <x v="6"/>
            <x v="9"/>
            <x v="11"/>
            <x v="13"/>
          </reference>
        </references>
      </pivotArea>
    </format>
    <format dxfId="30">
      <pivotArea dataOnly="0" labelOnly="1" fieldPosition="0">
        <references count="1">
          <reference field="15" count="0"/>
        </references>
      </pivotArea>
    </format>
    <format dxfId="29">
      <pivotArea field="15" dataOnly="0" labelOnly="1" grandCol="1" outline="0" axis="axisCol" fieldPosition="0">
        <references count="1">
          <reference field="4294967294" count="1" selected="0">
            <x v="0"/>
          </reference>
        </references>
      </pivotArea>
    </format>
    <format dxfId="28">
      <pivotArea field="15" dataOnly="0" labelOnly="1" grandCol="1" outline="0" axis="axisCol" fieldPosition="0">
        <references count="1">
          <reference field="4294967294" count="1" selected="0">
            <x v="1"/>
          </reference>
        </references>
      </pivotArea>
    </format>
    <format dxfId="27">
      <pivotArea dataOnly="0" labelOnly="1" outline="0" fieldPosition="0">
        <references count="2">
          <reference field="4294967294" count="2">
            <x v="0"/>
            <x v="1"/>
          </reference>
          <reference field="15" count="1" selected="0">
            <x v="0"/>
          </reference>
        </references>
      </pivotArea>
    </format>
    <format dxfId="26">
      <pivotArea dataOnly="0" labelOnly="1" outline="0" fieldPosition="0">
        <references count="2">
          <reference field="4294967294" count="2">
            <x v="0"/>
            <x v="1"/>
          </reference>
          <reference field="15" count="1" selected="0">
            <x v="1"/>
          </reference>
        </references>
      </pivotArea>
    </format>
    <format dxfId="25">
      <pivotArea dataOnly="0" labelOnly="1" outline="0" fieldPosition="0">
        <references count="2">
          <reference field="4294967294" count="2">
            <x v="0"/>
            <x v="1"/>
          </reference>
          <reference field="15" count="1" selected="0">
            <x v="2"/>
          </reference>
        </references>
      </pivotArea>
    </format>
    <format dxfId="24">
      <pivotArea type="all" dataOnly="0" outline="0" fieldPosition="0"/>
    </format>
    <format dxfId="23">
      <pivotArea outline="0" collapsedLevelsAreSubtotals="1" fieldPosition="0"/>
    </format>
    <format dxfId="22">
      <pivotArea type="origin" dataOnly="0" labelOnly="1" outline="0" fieldPosition="0"/>
    </format>
    <format dxfId="21">
      <pivotArea field="15" type="button" dataOnly="0" labelOnly="1" outline="0" axis="axisCol" fieldPosition="0"/>
    </format>
    <format dxfId="20">
      <pivotArea field="-2" type="button" dataOnly="0" labelOnly="1" outline="0" axis="axisCol" fieldPosition="1"/>
    </format>
    <format dxfId="19">
      <pivotArea type="topRight" dataOnly="0" labelOnly="1" outline="0" fieldPosition="0"/>
    </format>
    <format dxfId="18">
      <pivotArea field="1" type="button" dataOnly="0" labelOnly="1" outline="0" axis="axisRow" fieldPosition="0"/>
    </format>
    <format dxfId="17">
      <pivotArea dataOnly="0" labelOnly="1" fieldPosition="0">
        <references count="1">
          <reference field="1" count="0"/>
        </references>
      </pivotArea>
    </format>
    <format dxfId="16">
      <pivotArea dataOnly="0" labelOnly="1" grandRow="1" outline="0" fieldPosition="0"/>
    </format>
    <format dxfId="15">
      <pivotArea dataOnly="0" labelOnly="1" fieldPosition="0">
        <references count="2">
          <reference field="1" count="1" selected="0">
            <x v="0"/>
          </reference>
          <reference field="3" count="4">
            <x v="2"/>
            <x v="5"/>
            <x v="8"/>
            <x v="12"/>
          </reference>
        </references>
      </pivotArea>
    </format>
    <format dxfId="14">
      <pivotArea dataOnly="0" labelOnly="1" fieldPosition="0">
        <references count="2">
          <reference field="1" count="1" selected="0">
            <x v="1"/>
          </reference>
          <reference field="3" count="1">
            <x v="7"/>
          </reference>
        </references>
      </pivotArea>
    </format>
    <format dxfId="13">
      <pivotArea dataOnly="0" labelOnly="1" fieldPosition="0">
        <references count="2">
          <reference field="1" count="1" selected="0">
            <x v="2"/>
          </reference>
          <reference field="3" count="2">
            <x v="1"/>
            <x v="10"/>
          </reference>
        </references>
      </pivotArea>
    </format>
    <format dxfId="12">
      <pivotArea dataOnly="0" labelOnly="1" fieldPosition="0">
        <references count="2">
          <reference field="1" count="1" selected="0">
            <x v="3"/>
          </reference>
          <reference field="3" count="7">
            <x v="0"/>
            <x v="3"/>
            <x v="4"/>
            <x v="6"/>
            <x v="9"/>
            <x v="11"/>
            <x v="13"/>
          </reference>
        </references>
      </pivotArea>
    </format>
    <format dxfId="11">
      <pivotArea dataOnly="0" labelOnly="1" fieldPosition="0">
        <references count="1">
          <reference field="15" count="0"/>
        </references>
      </pivotArea>
    </format>
    <format dxfId="10">
      <pivotArea field="15" dataOnly="0" labelOnly="1" grandCol="1" outline="0" axis="axisCol" fieldPosition="0">
        <references count="1">
          <reference field="4294967294" count="1" selected="0">
            <x v="0"/>
          </reference>
        </references>
      </pivotArea>
    </format>
    <format dxfId="9">
      <pivotArea field="15" dataOnly="0" labelOnly="1" grandCol="1" outline="0" axis="axisCol" fieldPosition="0">
        <references count="1">
          <reference field="4294967294" count="1" selected="0">
            <x v="1"/>
          </reference>
        </references>
      </pivotArea>
    </format>
    <format dxfId="8">
      <pivotArea dataOnly="0" labelOnly="1" outline="0" fieldPosition="0">
        <references count="2">
          <reference field="4294967294" count="2">
            <x v="0"/>
            <x v="1"/>
          </reference>
          <reference field="15" count="1" selected="0">
            <x v="0"/>
          </reference>
        </references>
      </pivotArea>
    </format>
    <format dxfId="7">
      <pivotArea dataOnly="0" labelOnly="1" outline="0" fieldPosition="0">
        <references count="2">
          <reference field="4294967294" count="2">
            <x v="0"/>
            <x v="1"/>
          </reference>
          <reference field="15" count="1" selected="0">
            <x v="1"/>
          </reference>
        </references>
      </pivotArea>
    </format>
    <format dxfId="6">
      <pivotArea dataOnly="0" labelOnly="1" outline="0" fieldPosition="0">
        <references count="2">
          <reference field="4294967294" count="2">
            <x v="0"/>
            <x v="1"/>
          </reference>
          <reference field="15"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4" xr16:uid="{CA40EF99-6EAC-4FA9-8FCA-C7F82ED522C4}" autoFormatId="16" applyNumberFormats="0" applyBorderFormats="0" applyFontFormats="0" applyPatternFormats="0" applyAlignmentFormats="0" applyWidthHeightFormats="0">
  <queryTableRefresh nextId="16">
    <queryTableFields count="15">
      <queryTableField id="1" name="event_id" tableColumnId="1"/>
      <queryTableField id="2" name="material_id" tableColumnId="2"/>
      <queryTableField id="3" name="material_name" tableColumnId="3"/>
      <queryTableField id="4" name="material_category" tableColumnId="4"/>
      <queryTableField id="5" name="uom" tableColumnId="5"/>
      <queryTableField id="6" name="supplier_id" tableColumnId="6"/>
      <queryTableField id="7" name="supplier_name" tableColumnId="7"/>
      <queryTableField id="8" name="is_incumbent" tableColumnId="8"/>
      <queryTableField id="9" name="unit_price" tableColumnId="9"/>
      <queryTableField id="10" name="freight_per_unit" tableColumnId="10"/>
      <queryTableField id="11" name="quoted_lead_time_weeks" tableColumnId="11"/>
      <queryTableField id="12" name="supplier_defect_ppm" tableColumnId="12"/>
      <queryTableField id="13" name="payment_terms_days" tableColumnId="13"/>
      <queryTableField id="14" name="one_time_qualification_cost" tableColumnId="14"/>
      <queryTableField id="15" name="awarded"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7D1BD06D-0F33-4132-9151-CCC0B8A99D21}" autoFormatId="16" applyNumberFormats="0" applyBorderFormats="0" applyFontFormats="0" applyPatternFormats="0" applyAlignmentFormats="0" applyWidthHeightFormats="0">
  <queryTableRefresh nextId="26">
    <queryTableFields count="25">
      <queryTableField id="1" name="po_id" tableColumnId="1"/>
      <queryTableField id="2" name="material_id" tableColumnId="2"/>
      <queryTableField id="3" name="material_name" tableColumnId="3"/>
      <queryTableField id="4" name="material_category" tableColumnId="4"/>
      <queryTableField id="5" name="uom" tableColumnId="5"/>
      <queryTableField id="6" name="supplier_id" tableColumnId="6"/>
      <queryTableField id="7" name="supplier_name" tableColumnId="7"/>
      <queryTableField id="8" name="requisition_date" tableColumnId="8"/>
      <queryTableField id="9" name="po_date" tableColumnId="9"/>
      <queryTableField id="10" name="order_qty" tableColumnId="10"/>
      <queryTableField id="11" name="unit_price" tableColumnId="11"/>
      <queryTableField id="12" name="std_cost" tableColumnId="12"/>
      <queryTableField id="13" name="promised_date" tableColumnId="13"/>
      <queryTableField id="14" name="receipt_date" tableColumnId="14"/>
      <queryTableField id="15" name="received_qty" tableColumnId="15"/>
      <queryTableField id="16" name="po_type" tableColumnId="16"/>
      <queryTableField id="17" name="On_Time" tableColumnId="17"/>
      <queryTableField id="18" name="In_Full" tableColumnId="18"/>
      <queryTableField id="19" name="OTIF" tableColumnId="19"/>
      <queryTableField id="20" name="Lead_Time_Days" tableColumnId="20"/>
      <queryTableField id="21" name="Order_Year" tableColumnId="21"/>
      <queryTableField id="22" name="Order_Month" tableColumnId="22"/>
      <queryTableField id="23" name="Spend_USD" tableColumnId="23"/>
      <queryTableField id="24" name="Std_Value_USD" tableColumnId="24"/>
      <queryTableField id="25" name="PPV_USD" tableColumnId="2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FFD7C8B7-99CE-439E-A4E9-34C606D13D0A}" autoFormatId="16" applyNumberFormats="0" applyBorderFormats="0" applyFontFormats="0" applyPatternFormats="0" applyAlignmentFormats="0" applyWidthHeightFormats="0">
  <queryTableRefresh nextId="14">
    <queryTableFields count="13">
      <queryTableField id="1" name="receipt_id" tableColumnId="1"/>
      <queryTableField id="2" name="po_id" tableColumnId="2"/>
      <queryTableField id="3" name="receipt_date" tableColumnId="3"/>
      <queryTableField id="4" name="material_id" tableColumnId="4"/>
      <queryTableField id="5" name="material_name" tableColumnId="5"/>
      <queryTableField id="6" name="material_category" tableColumnId="6"/>
      <queryTableField id="7" name="uom" tableColumnId="7"/>
      <queryTableField id="8" name="supplier_id" tableColumnId="8"/>
      <queryTableField id="9" name="supplier_name" tableColumnId="9"/>
      <queryTableField id="10" name="qty_received" tableColumnId="10"/>
      <queryTableField id="11" name="qty_rejected" tableColumnId="11"/>
      <queryTableField id="12" name="defect_type" tableColumnId="12"/>
      <queryTableField id="13" name="Receipt_Year" tableColumnId="13"/>
    </queryTableFields>
  </queryTableRefresh>
  <extLst>
    <ext xmlns:x15="http://schemas.microsoft.com/office/spreadsheetml/2010/11/main" uri="{883FBD77-0823-4a55-B5E3-86C4891E6966}">
      <x15:queryTable sourceDataName="Query - Receiving_Data"/>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5" xr16:uid="{AA34D491-9392-4EB6-8F68-4C9BAB55F1FF}" autoFormatId="16" applyNumberFormats="0" applyBorderFormats="0" applyFontFormats="0" applyPatternFormats="0" applyAlignmentFormats="0" applyWidthHeightFormats="0">
  <queryTableRefresh nextId="17">
    <queryTableFields count="16">
      <queryTableField id="1" name="event_id" tableColumnId="1"/>
      <queryTableField id="2" name="event_type" tableColumnId="2"/>
      <queryTableField id="3" name="material_id" tableColumnId="3"/>
      <queryTableField id="4" name="material_name" tableColumnId="4"/>
      <queryTableField id="5" name="start_date" tableColumnId="5"/>
      <queryTableField id="6" name="award_date" tableColumnId="6"/>
      <queryTableField id="7" name="incumbent_supplier" tableColumnId="7"/>
      <queryTableField id="8" name="awarded_supplier" tableColumnId="8"/>
      <queryTableField id="9" name="baseline_unit_price" tableColumnId="9"/>
      <queryTableField id="10" name="awarded_unit_price" tableColumnId="10"/>
      <queryTableField id="11" name="est_annual_volume" tableColumnId="11"/>
      <queryTableField id="12" name="requested_increase_pct" tableColumnId="12"/>
      <queryTableField id="13" name="negotiated_increase_pct" tableColumnId="13"/>
      <queryTableField id="14" name="Cost_Savings_USD" tableColumnId="14"/>
      <queryTableField id="15" name="Cost_Avoidance_USD" tableColumnId="15"/>
      <queryTableField id="16" name="Award_Year"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_category" xr10:uid="{E1BEC246-A988-4D7A-BC33-BA0EA799FEC8}" sourceName="material_category">
  <pivotTables>
    <pivotTable tabId="3" name="PivotTable1"/>
  </pivotTables>
  <data>
    <tabular pivotCacheId="340931433">
      <items count="14">
        <i x="6" s="1"/>
        <i x="10" s="1"/>
        <i x="7" s="1"/>
        <i x="4" s="1"/>
        <i x="8" s="1"/>
        <i x="9" s="1"/>
        <i x="1" s="1"/>
        <i x="11" s="1"/>
        <i x="0" s="1"/>
        <i x="3" s="1"/>
        <i x="5" s="1"/>
        <i x="13" s="1"/>
        <i x="12"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terial_category" xr10:uid="{C69E1D6C-4025-450F-8A37-6C3B910B5EA8}" cache="Slicer_material_category" caption="material_catego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ED5A46E-1051-49AA-9CCF-8518272BA1B2}" name="RFQ_Data" displayName="RFQ_Data" ref="A1:O24" tableType="queryTable" totalsRowShown="0">
  <autoFilter ref="A1:O24" xr:uid="{1ED5A46E-1051-49AA-9CCF-8518272BA1B2}"/>
  <tableColumns count="15">
    <tableColumn id="1" xr3:uid="{CDCA061D-245D-464E-8C97-0E22EE4085EC}" uniqueName="1" name="event_id" queryTableFieldId="1" dataDxfId="168"/>
    <tableColumn id="2" xr3:uid="{0EC4C03B-87C9-42A9-B2B2-37B64C8015C5}" uniqueName="2" name="material_id" queryTableFieldId="2" dataDxfId="167"/>
    <tableColumn id="3" xr3:uid="{DA682ACA-982E-4D7E-B4FF-A480328E8A38}" uniqueName="3" name="material_name" queryTableFieldId="3" dataDxfId="166"/>
    <tableColumn id="4" xr3:uid="{C5BE06A3-DD28-488B-BFF8-ABB2423AE844}" uniqueName="4" name="material_category" queryTableFieldId="4" dataDxfId="165"/>
    <tableColumn id="5" xr3:uid="{A91A173F-2675-4E71-BB2C-30AA70FBA892}" uniqueName="5" name="uom" queryTableFieldId="5" dataDxfId="164"/>
    <tableColumn id="6" xr3:uid="{F6A19701-98E1-4134-B35E-1821CEBD95A5}" uniqueName="6" name="supplier_id" queryTableFieldId="6" dataDxfId="163"/>
    <tableColumn id="7" xr3:uid="{D312A3BF-2C14-433E-8D0E-89EC603B11E2}" uniqueName="7" name="supplier_name" queryTableFieldId="7" dataDxfId="162"/>
    <tableColumn id="8" xr3:uid="{E66AEA54-B279-4571-AA9D-F3C53898D571}" uniqueName="8" name="is_incumbent" queryTableFieldId="8"/>
    <tableColumn id="9" xr3:uid="{01E91D9F-00F7-4A18-9DB1-9D113CD76BB2}" uniqueName="9" name="unit_price" queryTableFieldId="9"/>
    <tableColumn id="10" xr3:uid="{4EEEA06B-E025-4EAF-AE43-DE2B5D73C2B6}" uniqueName="10" name="freight_per_unit" queryTableFieldId="10"/>
    <tableColumn id="11" xr3:uid="{7FD3FFA1-91D7-440F-B458-36373CD95C2F}" uniqueName="11" name="quoted_lead_time_weeks" queryTableFieldId="11"/>
    <tableColumn id="12" xr3:uid="{6A4D041C-6C76-4C80-BF9F-626EA1881E02}" uniqueName="12" name="supplier_defect_ppm" queryTableFieldId="12"/>
    <tableColumn id="13" xr3:uid="{EB2C7019-E030-4AE8-B1F0-8403042FD1A2}" uniqueName="13" name="payment_terms_days" queryTableFieldId="13"/>
    <tableColumn id="14" xr3:uid="{3E9B321E-AD60-4286-BEC8-FB32BB6E28DF}" uniqueName="14" name="one_time_qualification_cost" queryTableFieldId="14"/>
    <tableColumn id="15" xr3:uid="{2700DFF4-6812-41AA-9B46-4ADC9312182F}" uniqueName="15" name="awarded" queryTableField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9AFA03-904C-4F0E-815A-D8AA04D30EA9}" name="PO_Data" displayName="PO_Data" ref="A1:Y473" tableType="queryTable" totalsRowShown="0">
  <autoFilter ref="A1:Y473" xr:uid="{269AFA03-904C-4F0E-815A-D8AA04D30EA9}"/>
  <tableColumns count="25">
    <tableColumn id="1" xr3:uid="{53446253-8F1B-4419-B115-C0E18D694585}" uniqueName="1" name="po_id" queryTableFieldId="1" dataDxfId="161"/>
    <tableColumn id="2" xr3:uid="{82E352AF-D486-43C9-B133-A25943BB7A9C}" uniqueName="2" name="material_id" queryTableFieldId="2" dataDxfId="160"/>
    <tableColumn id="3" xr3:uid="{DDEB249E-A0C0-41A8-8439-8BAB660D3059}" uniqueName="3" name="material_name" queryTableFieldId="3" dataDxfId="159"/>
    <tableColumn id="4" xr3:uid="{49EFF9AF-64A6-4D13-8C1B-5315CFE6A277}" uniqueName="4" name="material_category" queryTableFieldId="4" dataDxfId="158"/>
    <tableColumn id="5" xr3:uid="{6FB0319E-2387-44C4-B6DC-DA257B4E1387}" uniqueName="5" name="uom" queryTableFieldId="5" dataDxfId="157"/>
    <tableColumn id="6" xr3:uid="{5F9A2F75-9DB6-4EA9-95B6-153EC32764E2}" uniqueName="6" name="supplier_id" queryTableFieldId="6" dataDxfId="156"/>
    <tableColumn id="7" xr3:uid="{11A8125C-80E9-4562-9A15-CB6A2FE853F3}" uniqueName="7" name="supplier_name" queryTableFieldId="7" dataDxfId="155"/>
    <tableColumn id="8" xr3:uid="{E906FFF4-83A1-4E06-9444-83934DC8B1C4}" uniqueName="8" name="requisition_date" queryTableFieldId="8" dataDxfId="154"/>
    <tableColumn id="9" xr3:uid="{627E374A-604C-4CFE-8EC3-10282EE9A88D}" uniqueName="9" name="po_date" queryTableFieldId="9" dataDxfId="153"/>
    <tableColumn id="10" xr3:uid="{F40FB606-B267-40AF-949B-DDA36F7DD309}" uniqueName="10" name="order_qty" queryTableFieldId="10"/>
    <tableColumn id="11" xr3:uid="{465AE868-1DF8-407E-9317-015E3E9F12B5}" uniqueName="11" name="unit_price" queryTableFieldId="11"/>
    <tableColumn id="12" xr3:uid="{68DF9FB1-BA52-436E-A5FD-AB244F1F67BA}" uniqueName="12" name="std_cost" queryTableFieldId="12"/>
    <tableColumn id="13" xr3:uid="{B5DDED00-94F5-440D-8DF0-B24426DD52D1}" uniqueName="13" name="promised_date" queryTableFieldId="13" dataDxfId="152"/>
    <tableColumn id="14" xr3:uid="{E9436029-EA7B-4581-BF0C-76C89E249EFA}" uniqueName="14" name="receipt_date" queryTableFieldId="14" dataDxfId="151"/>
    <tableColumn id="15" xr3:uid="{3FE8BF71-0D55-492F-B976-C7861608AB8B}" uniqueName="15" name="received_qty" queryTableFieldId="15"/>
    <tableColumn id="16" xr3:uid="{294599AB-62C0-40B2-8A9C-7667A1E94191}" uniqueName="16" name="po_type" queryTableFieldId="16" dataDxfId="150"/>
    <tableColumn id="17" xr3:uid="{FA938B12-C8A8-4442-8563-11B07A53A9BE}" uniqueName="17" name="On_Time" queryTableFieldId="17"/>
    <tableColumn id="18" xr3:uid="{B6494DA3-DD11-4BA7-9F61-AAFB5B6E4C55}" uniqueName="18" name="In_Full" queryTableFieldId="18"/>
    <tableColumn id="19" xr3:uid="{A96525EE-86F2-415F-9885-D1B7BBD8A6F4}" uniqueName="19" name="OTIF" queryTableFieldId="19"/>
    <tableColumn id="20" xr3:uid="{E9BA4653-4E2D-4F01-B65E-55DF7A320BB1}" uniqueName="20" name="Lead_Time_Days" queryTableFieldId="20"/>
    <tableColumn id="21" xr3:uid="{3C4E309E-4A9E-46E1-9A83-D5221F2A5467}" uniqueName="21" name="Order_Year" queryTableFieldId="21"/>
    <tableColumn id="22" xr3:uid="{BCBDC6B7-5ABC-4809-A812-4D4BFBC97654}" uniqueName="22" name="Order_Month" queryTableFieldId="22"/>
    <tableColumn id="23" xr3:uid="{EEC55F9B-A0BA-4252-BA75-8EC714DBBE8C}" uniqueName="23" name="Spend_USD" queryTableFieldId="23"/>
    <tableColumn id="24" xr3:uid="{EBB4D05A-0258-4C9D-8374-1AF19D0F1756}" uniqueName="24" name="Std_Value_USD" queryTableFieldId="24"/>
    <tableColumn id="25" xr3:uid="{4C52A9AD-3252-47A1-B77A-39912A257054}" uniqueName="25" name="PPV_USD" queryTableFieldId="2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DED76CE-8322-4533-B562-BBC01EB296B1}" name="Receiving_Data" displayName="Receiving_Data" ref="A1:M451" tableType="queryTable" totalsRowShown="0">
  <autoFilter ref="A1:M451" xr:uid="{0DED76CE-8322-4533-B562-BBC01EB296B1}"/>
  <tableColumns count="13">
    <tableColumn id="1" xr3:uid="{7B235108-A7A6-43BB-8F93-3C636044FC06}" uniqueName="1" name="receipt_id" queryTableFieldId="1" dataDxfId="149"/>
    <tableColumn id="2" xr3:uid="{E1FE5A07-0E5B-408B-86D0-D27A4D7649CA}" uniqueName="2" name="po_id" queryTableFieldId="2" dataDxfId="148"/>
    <tableColumn id="3" xr3:uid="{96F9F7AF-D7FD-4478-A688-7E02C31AF30E}" uniqueName="3" name="receipt_date" queryTableFieldId="3" dataDxfId="147"/>
    <tableColumn id="4" xr3:uid="{E3DE45DA-7887-4103-A0C2-E8F17C440CEA}" uniqueName="4" name="material_id" queryTableFieldId="4" dataDxfId="146"/>
    <tableColumn id="5" xr3:uid="{47228B09-E948-4371-8FD5-6E9329F41704}" uniqueName="5" name="material_name" queryTableFieldId="5" dataDxfId="145"/>
    <tableColumn id="6" xr3:uid="{9AB18074-4773-4731-89F5-F09C7EC2E2C0}" uniqueName="6" name="material_category" queryTableFieldId="6" dataDxfId="144"/>
    <tableColumn id="7" xr3:uid="{3E870579-5857-4D89-8D92-5F3717D63248}" uniqueName="7" name="uom" queryTableFieldId="7" dataDxfId="143"/>
    <tableColumn id="8" xr3:uid="{1F78D5A0-30DD-4C17-AB97-28FD411335D5}" uniqueName="8" name="supplier_id" queryTableFieldId="8" dataDxfId="142"/>
    <tableColumn id="9" xr3:uid="{000D5ED4-5EDB-4E9D-8A51-BCD0439D5CE2}" uniqueName="9" name="supplier_name" queryTableFieldId="9" dataDxfId="141"/>
    <tableColumn id="10" xr3:uid="{135E13FB-2E0C-45C6-A05D-7D9D51631915}" uniqueName="10" name="qty_received" queryTableFieldId="10"/>
    <tableColumn id="11" xr3:uid="{3CF363A9-CCFD-417D-9C2E-0393A770AF9F}" uniqueName="11" name="qty_rejected" queryTableFieldId="11"/>
    <tableColumn id="12" xr3:uid="{1FD807B2-542B-4B5F-B89A-92F9CC943F61}" uniqueName="12" name="defect_type" queryTableFieldId="12" dataDxfId="140"/>
    <tableColumn id="13" xr3:uid="{8B4B3C3D-C4CC-4400-9795-198D41FA1B44}" uniqueName="13" name="Receipt_Year" queryTableFieldId="1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0980970-F648-461B-9492-16E691E7AD3D}" name="Sourcing_Data" displayName="Sourcing_Data" ref="A1:P15" tableType="queryTable" totalsRowShown="0">
  <autoFilter ref="A1:P15" xr:uid="{A0980970-F648-461B-9492-16E691E7AD3D}"/>
  <tableColumns count="16">
    <tableColumn id="1" xr3:uid="{5D6C4B94-07B5-442E-BC59-E8E81A78F969}" uniqueName="1" name="event_id" queryTableFieldId="1" dataDxfId="139"/>
    <tableColumn id="2" xr3:uid="{723B5EBA-C821-4813-8518-08C45CD51B87}" uniqueName="2" name="event_type" queryTableFieldId="2" dataDxfId="138"/>
    <tableColumn id="3" xr3:uid="{321DC9BD-8F03-4233-A216-9FCAEACDEBA5}" uniqueName="3" name="material_id" queryTableFieldId="3" dataDxfId="137"/>
    <tableColumn id="4" xr3:uid="{F393CF27-0E3B-48DC-AFBC-D89D860733B3}" uniqueName="4" name="material_name" queryTableFieldId="4" dataDxfId="136"/>
    <tableColumn id="5" xr3:uid="{BF3E215E-239E-4C59-988A-78814C19D957}" uniqueName="5" name="start_date" queryTableFieldId="5" dataDxfId="135"/>
    <tableColumn id="6" xr3:uid="{CD60D367-31F9-4AE5-845A-37676D39322A}" uniqueName="6" name="award_date" queryTableFieldId="6" dataDxfId="134"/>
    <tableColumn id="7" xr3:uid="{4372EE77-421D-4B95-A8C2-2D82658AC17B}" uniqueName="7" name="incumbent_supplier" queryTableFieldId="7" dataDxfId="133"/>
    <tableColumn id="8" xr3:uid="{4DBD7281-5620-4A51-9582-8048E757E7E1}" uniqueName="8" name="awarded_supplier" queryTableFieldId="8" dataDxfId="132"/>
    <tableColumn id="9" xr3:uid="{5D941287-26CB-475D-B1E0-EED0196AA971}" uniqueName="9" name="baseline_unit_price" queryTableFieldId="9"/>
    <tableColumn id="10" xr3:uid="{61B41F45-2D81-43C5-8623-B92B9E9B313B}" uniqueName="10" name="awarded_unit_price" queryTableFieldId="10"/>
    <tableColumn id="11" xr3:uid="{9226300D-B9D0-4DBB-990A-A4ADF5216601}" uniqueName="11" name="est_annual_volume" queryTableFieldId="11"/>
    <tableColumn id="12" xr3:uid="{DE6D8622-DCA9-4563-9001-861F941BA19E}" uniqueName="12" name="requested_increase_pct" queryTableFieldId="12"/>
    <tableColumn id="13" xr3:uid="{5C2DBF05-97DD-443B-9B2B-1F6DFC58DC55}" uniqueName="13" name="negotiated_increase_pct" queryTableFieldId="13"/>
    <tableColumn id="14" xr3:uid="{28D1553B-0ED6-45DF-A7AE-C87C27C96EA9}" uniqueName="14" name="Cost_Savings_USD" queryTableFieldId="14"/>
    <tableColumn id="15" xr3:uid="{26C9DDA6-C543-423D-9DD3-9C71B5315BCA}" uniqueName="15" name="Cost_Avoidance_USD" queryTableFieldId="15"/>
    <tableColumn id="16" xr3:uid="{A1449C9C-D4A1-43DE-A613-6A5D606A1FF0}" uniqueName="16" name="Award_Year" queryTableFieldId="1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61F29-216C-4228-A5A2-C2C1D9D0CC55}">
  <dimension ref="A1:O24"/>
  <sheetViews>
    <sheetView workbookViewId="0">
      <pane ySplit="1" topLeftCell="A2" activePane="bottomLeft" state="frozen"/>
      <selection pane="bottomLeft" activeCell="A2" sqref="A2"/>
    </sheetView>
  </sheetViews>
  <sheetFormatPr defaultRowHeight="15"/>
  <cols>
    <col min="1" max="1" width="11.140625" bestFit="1" customWidth="1"/>
    <col min="2" max="2" width="13.42578125" bestFit="1" customWidth="1"/>
    <col min="3" max="3" width="25.28515625" bestFit="1" customWidth="1"/>
    <col min="4" max="4" width="19.5703125" bestFit="1" customWidth="1"/>
    <col min="5" max="5" width="7.28515625" bestFit="1" customWidth="1"/>
    <col min="6" max="6" width="13.28515625" bestFit="1" customWidth="1"/>
    <col min="7" max="7" width="23.5703125" bestFit="1" customWidth="1"/>
    <col min="8" max="8" width="15.42578125" bestFit="1" customWidth="1"/>
    <col min="9" max="9" width="12.28515625" bestFit="1" customWidth="1"/>
    <col min="10" max="10" width="18" bestFit="1" customWidth="1"/>
    <col min="11" max="11" width="26.85546875" bestFit="1" customWidth="1"/>
    <col min="12" max="13" width="22.5703125" bestFit="1" customWidth="1"/>
    <col min="14" max="14" width="29.140625" bestFit="1" customWidth="1"/>
    <col min="15" max="15" width="11" bestFit="1" customWidth="1"/>
  </cols>
  <sheetData>
    <row r="1" spans="1:15">
      <c r="A1" t="s">
        <v>1097</v>
      </c>
      <c r="B1" t="s">
        <v>1</v>
      </c>
      <c r="C1" t="s">
        <v>2</v>
      </c>
      <c r="D1" t="s">
        <v>3</v>
      </c>
      <c r="E1" t="s">
        <v>4</v>
      </c>
      <c r="F1" t="s">
        <v>5</v>
      </c>
      <c r="G1" t="s">
        <v>6</v>
      </c>
      <c r="H1" t="s">
        <v>1133</v>
      </c>
      <c r="I1" t="s">
        <v>10</v>
      </c>
      <c r="J1" t="s">
        <v>1134</v>
      </c>
      <c r="K1" t="s">
        <v>622</v>
      </c>
      <c r="L1" t="s">
        <v>1135</v>
      </c>
      <c r="M1" t="s">
        <v>1136</v>
      </c>
      <c r="N1" t="s">
        <v>1137</v>
      </c>
      <c r="O1" t="s">
        <v>1138</v>
      </c>
    </row>
    <row r="2" spans="1:15">
      <c r="A2" t="s">
        <v>1111</v>
      </c>
      <c r="B2" t="s">
        <v>26</v>
      </c>
      <c r="C2" t="s">
        <v>27</v>
      </c>
      <c r="D2" t="s">
        <v>28</v>
      </c>
      <c r="E2" t="s">
        <v>29</v>
      </c>
      <c r="F2" t="s">
        <v>30</v>
      </c>
      <c r="G2" t="s">
        <v>31</v>
      </c>
      <c r="H2" t="b">
        <v>1</v>
      </c>
      <c r="I2" s="85">
        <v>125.56</v>
      </c>
      <c r="J2" s="85">
        <v>6.28</v>
      </c>
      <c r="K2">
        <v>6</v>
      </c>
      <c r="L2" s="86">
        <v>250</v>
      </c>
      <c r="M2">
        <v>60</v>
      </c>
      <c r="N2" s="87">
        <v>0</v>
      </c>
      <c r="O2" t="b">
        <v>0</v>
      </c>
    </row>
    <row r="3" spans="1:15">
      <c r="A3" t="s">
        <v>1111</v>
      </c>
      <c r="B3" t="s">
        <v>26</v>
      </c>
      <c r="C3" t="s">
        <v>27</v>
      </c>
      <c r="D3" t="s">
        <v>28</v>
      </c>
      <c r="E3" t="s">
        <v>29</v>
      </c>
      <c r="F3" t="s">
        <v>149</v>
      </c>
      <c r="G3" t="s">
        <v>150</v>
      </c>
      <c r="H3" t="b">
        <v>0</v>
      </c>
      <c r="I3" s="85">
        <v>104.01</v>
      </c>
      <c r="J3" s="85">
        <v>5.2</v>
      </c>
      <c r="K3">
        <v>7</v>
      </c>
      <c r="L3" s="86">
        <v>800</v>
      </c>
      <c r="M3">
        <v>30</v>
      </c>
      <c r="N3" s="87">
        <v>15000</v>
      </c>
      <c r="O3" t="b">
        <v>1</v>
      </c>
    </row>
    <row r="4" spans="1:15">
      <c r="A4" t="s">
        <v>1113</v>
      </c>
      <c r="B4" t="s">
        <v>68</v>
      </c>
      <c r="C4" t="s">
        <v>69</v>
      </c>
      <c r="D4" t="s">
        <v>43</v>
      </c>
      <c r="E4" t="s">
        <v>37</v>
      </c>
      <c r="F4" t="s">
        <v>70</v>
      </c>
      <c r="G4" t="s">
        <v>71</v>
      </c>
      <c r="H4" t="b">
        <v>1</v>
      </c>
      <c r="I4" s="85">
        <v>4.41</v>
      </c>
      <c r="J4" s="85">
        <v>0.2205</v>
      </c>
      <c r="K4">
        <v>3</v>
      </c>
      <c r="L4" s="86">
        <v>800</v>
      </c>
      <c r="M4">
        <v>60</v>
      </c>
      <c r="N4" s="87">
        <v>0</v>
      </c>
      <c r="O4" t="b">
        <v>0</v>
      </c>
    </row>
    <row r="5" spans="1:15">
      <c r="A5" t="s">
        <v>1113</v>
      </c>
      <c r="B5" t="s">
        <v>68</v>
      </c>
      <c r="C5" t="s">
        <v>69</v>
      </c>
      <c r="D5" t="s">
        <v>43</v>
      </c>
      <c r="E5" t="s">
        <v>37</v>
      </c>
      <c r="F5" t="s">
        <v>44</v>
      </c>
      <c r="G5" t="s">
        <v>45</v>
      </c>
      <c r="H5" t="b">
        <v>0</v>
      </c>
      <c r="I5" s="85">
        <v>4.05</v>
      </c>
      <c r="J5" s="85">
        <v>0.20269999999999999</v>
      </c>
      <c r="K5">
        <v>4</v>
      </c>
      <c r="L5" s="86">
        <v>250</v>
      </c>
      <c r="M5">
        <v>45</v>
      </c>
      <c r="N5" s="87">
        <v>5000</v>
      </c>
      <c r="O5" t="b">
        <v>1</v>
      </c>
    </row>
    <row r="6" spans="1:15">
      <c r="A6" t="s">
        <v>1114</v>
      </c>
      <c r="B6" t="s">
        <v>54</v>
      </c>
      <c r="C6" t="s">
        <v>55</v>
      </c>
      <c r="D6" t="s">
        <v>49</v>
      </c>
      <c r="E6" t="s">
        <v>56</v>
      </c>
      <c r="F6" t="s">
        <v>57</v>
      </c>
      <c r="G6" t="s">
        <v>58</v>
      </c>
      <c r="H6" t="b">
        <v>1</v>
      </c>
      <c r="I6" s="85">
        <v>29.54</v>
      </c>
      <c r="J6" s="85">
        <v>1.48</v>
      </c>
      <c r="K6">
        <v>6</v>
      </c>
      <c r="L6" s="86">
        <v>800</v>
      </c>
      <c r="M6">
        <v>45</v>
      </c>
      <c r="N6" s="87">
        <v>0</v>
      </c>
      <c r="O6" t="b">
        <v>0</v>
      </c>
    </row>
    <row r="7" spans="1:15">
      <c r="A7" t="s">
        <v>1114</v>
      </c>
      <c r="B7" t="s">
        <v>54</v>
      </c>
      <c r="C7" t="s">
        <v>55</v>
      </c>
      <c r="D7" t="s">
        <v>49</v>
      </c>
      <c r="E7" t="s">
        <v>56</v>
      </c>
      <c r="F7" t="s">
        <v>65</v>
      </c>
      <c r="G7" t="s">
        <v>66</v>
      </c>
      <c r="H7" t="b">
        <v>0</v>
      </c>
      <c r="I7" s="85">
        <v>26.57</v>
      </c>
      <c r="J7" s="85">
        <v>0.53139999999999998</v>
      </c>
      <c r="K7">
        <v>8</v>
      </c>
      <c r="L7" s="86">
        <v>250</v>
      </c>
      <c r="M7">
        <v>60</v>
      </c>
      <c r="N7" s="87">
        <v>15000</v>
      </c>
      <c r="O7" t="b">
        <v>1</v>
      </c>
    </row>
    <row r="8" spans="1:15">
      <c r="A8" t="s">
        <v>1114</v>
      </c>
      <c r="B8" t="s">
        <v>54</v>
      </c>
      <c r="C8" t="s">
        <v>55</v>
      </c>
      <c r="D8" t="s">
        <v>49</v>
      </c>
      <c r="E8" t="s">
        <v>56</v>
      </c>
      <c r="F8" t="s">
        <v>51</v>
      </c>
      <c r="G8" t="s">
        <v>52</v>
      </c>
      <c r="H8" t="b">
        <v>0</v>
      </c>
      <c r="I8" s="85">
        <v>24.63</v>
      </c>
      <c r="J8" s="85">
        <v>1.23</v>
      </c>
      <c r="K8">
        <v>6</v>
      </c>
      <c r="L8" s="86">
        <v>2500</v>
      </c>
      <c r="M8">
        <v>30</v>
      </c>
      <c r="N8" s="87">
        <v>40000</v>
      </c>
      <c r="O8" t="b">
        <v>0</v>
      </c>
    </row>
    <row r="9" spans="1:15">
      <c r="A9" t="s">
        <v>1115</v>
      </c>
      <c r="B9" t="s">
        <v>76</v>
      </c>
      <c r="C9" t="s">
        <v>77</v>
      </c>
      <c r="D9" t="s">
        <v>78</v>
      </c>
      <c r="E9" t="s">
        <v>37</v>
      </c>
      <c r="F9" t="s">
        <v>79</v>
      </c>
      <c r="G9" t="s">
        <v>80</v>
      </c>
      <c r="H9" t="b">
        <v>1</v>
      </c>
      <c r="I9" s="85">
        <v>39.15</v>
      </c>
      <c r="J9" s="85">
        <v>0.78310000000000002</v>
      </c>
      <c r="K9">
        <v>5</v>
      </c>
      <c r="L9" s="86">
        <v>800</v>
      </c>
      <c r="M9">
        <v>60</v>
      </c>
      <c r="N9" s="87">
        <v>0</v>
      </c>
      <c r="O9" t="b">
        <v>0</v>
      </c>
    </row>
    <row r="10" spans="1:15">
      <c r="A10" t="s">
        <v>1115</v>
      </c>
      <c r="B10" t="s">
        <v>76</v>
      </c>
      <c r="C10" t="s">
        <v>77</v>
      </c>
      <c r="D10" t="s">
        <v>78</v>
      </c>
      <c r="E10" t="s">
        <v>37</v>
      </c>
      <c r="F10" t="s">
        <v>44</v>
      </c>
      <c r="G10" t="s">
        <v>45</v>
      </c>
      <c r="H10" t="b">
        <v>0</v>
      </c>
      <c r="I10" s="85">
        <v>35.79</v>
      </c>
      <c r="J10" s="85">
        <v>1.79</v>
      </c>
      <c r="K10">
        <v>7</v>
      </c>
      <c r="L10" s="86">
        <v>250</v>
      </c>
      <c r="M10">
        <v>30</v>
      </c>
      <c r="N10" s="87">
        <v>120000</v>
      </c>
      <c r="O10" t="b">
        <v>1</v>
      </c>
    </row>
    <row r="11" spans="1:15">
      <c r="A11" t="s">
        <v>1117</v>
      </c>
      <c r="B11" t="s">
        <v>111</v>
      </c>
      <c r="C11" t="s">
        <v>112</v>
      </c>
      <c r="D11" t="s">
        <v>113</v>
      </c>
      <c r="E11" t="s">
        <v>84</v>
      </c>
      <c r="F11" t="s">
        <v>114</v>
      </c>
      <c r="G11" t="s">
        <v>115</v>
      </c>
      <c r="H11" t="b">
        <v>1</v>
      </c>
      <c r="I11" s="85">
        <v>0.1164</v>
      </c>
      <c r="J11" s="85">
        <v>5.7999999999999996E-3</v>
      </c>
      <c r="K11">
        <v>10</v>
      </c>
      <c r="L11" s="86">
        <v>2500</v>
      </c>
      <c r="M11">
        <v>30</v>
      </c>
      <c r="N11" s="87">
        <v>0</v>
      </c>
      <c r="O11" t="b">
        <v>0</v>
      </c>
    </row>
    <row r="12" spans="1:15">
      <c r="A12" t="s">
        <v>1117</v>
      </c>
      <c r="B12" t="s">
        <v>111</v>
      </c>
      <c r="C12" t="s">
        <v>112</v>
      </c>
      <c r="D12" t="s">
        <v>113</v>
      </c>
      <c r="E12" t="s">
        <v>84</v>
      </c>
      <c r="F12" t="s">
        <v>121</v>
      </c>
      <c r="G12" t="s">
        <v>122</v>
      </c>
      <c r="H12" t="b">
        <v>0</v>
      </c>
      <c r="I12" s="85">
        <v>9.6799999999999997E-2</v>
      </c>
      <c r="J12" s="85">
        <v>4.7999999999999996E-3</v>
      </c>
      <c r="K12">
        <v>11</v>
      </c>
      <c r="L12" s="86">
        <v>800</v>
      </c>
      <c r="M12">
        <v>45</v>
      </c>
      <c r="N12" s="87">
        <v>15000</v>
      </c>
      <c r="O12" t="b">
        <v>1</v>
      </c>
    </row>
    <row r="13" spans="1:15">
      <c r="A13" t="s">
        <v>1117</v>
      </c>
      <c r="B13" t="s">
        <v>111</v>
      </c>
      <c r="C13" t="s">
        <v>112</v>
      </c>
      <c r="D13" t="s">
        <v>113</v>
      </c>
      <c r="E13" t="s">
        <v>84</v>
      </c>
      <c r="F13" t="s">
        <v>137</v>
      </c>
      <c r="G13" t="s">
        <v>138</v>
      </c>
      <c r="H13" t="b">
        <v>0</v>
      </c>
      <c r="I13" s="85">
        <v>0.10979999999999999</v>
      </c>
      <c r="J13" s="85">
        <v>5.4999999999999997E-3</v>
      </c>
      <c r="K13">
        <v>10</v>
      </c>
      <c r="L13" s="86">
        <v>250</v>
      </c>
      <c r="M13">
        <v>45</v>
      </c>
      <c r="N13" s="87">
        <v>5000</v>
      </c>
      <c r="O13" t="b">
        <v>0</v>
      </c>
    </row>
    <row r="14" spans="1:15">
      <c r="A14" t="s">
        <v>1118</v>
      </c>
      <c r="B14" t="s">
        <v>117</v>
      </c>
      <c r="C14" t="s">
        <v>118</v>
      </c>
      <c r="D14" t="s">
        <v>119</v>
      </c>
      <c r="E14" t="s">
        <v>120</v>
      </c>
      <c r="F14" t="s">
        <v>121</v>
      </c>
      <c r="G14" t="s">
        <v>122</v>
      </c>
      <c r="H14" t="b">
        <v>1</v>
      </c>
      <c r="I14" s="85">
        <v>4.1999999999999997E-3</v>
      </c>
      <c r="J14" s="85">
        <v>2.0000000000000001E-4</v>
      </c>
      <c r="K14">
        <v>5</v>
      </c>
      <c r="L14" s="86">
        <v>800</v>
      </c>
      <c r="M14">
        <v>30</v>
      </c>
      <c r="N14" s="87">
        <v>0</v>
      </c>
      <c r="O14" t="b">
        <v>0</v>
      </c>
    </row>
    <row r="15" spans="1:15">
      <c r="A15" t="s">
        <v>1118</v>
      </c>
      <c r="B15" t="s">
        <v>117</v>
      </c>
      <c r="C15" t="s">
        <v>118</v>
      </c>
      <c r="D15" t="s">
        <v>119</v>
      </c>
      <c r="E15" t="s">
        <v>120</v>
      </c>
      <c r="F15" t="s">
        <v>137</v>
      </c>
      <c r="G15" t="s">
        <v>138</v>
      </c>
      <c r="H15" t="b">
        <v>0</v>
      </c>
      <c r="I15" s="85">
        <v>4.0000000000000001E-3</v>
      </c>
      <c r="J15" s="85">
        <v>2.0000000000000001E-4</v>
      </c>
      <c r="K15">
        <v>5</v>
      </c>
      <c r="L15" s="86">
        <v>250</v>
      </c>
      <c r="M15">
        <v>30</v>
      </c>
      <c r="N15" s="87">
        <v>15000</v>
      </c>
      <c r="O15" t="b">
        <v>1</v>
      </c>
    </row>
    <row r="16" spans="1:15">
      <c r="A16" t="s">
        <v>1118</v>
      </c>
      <c r="B16" t="s">
        <v>117</v>
      </c>
      <c r="C16" t="s">
        <v>118</v>
      </c>
      <c r="D16" t="s">
        <v>119</v>
      </c>
      <c r="E16" t="s">
        <v>120</v>
      </c>
      <c r="F16" t="s">
        <v>143</v>
      </c>
      <c r="G16" t="s">
        <v>144</v>
      </c>
      <c r="H16" t="b">
        <v>0</v>
      </c>
      <c r="I16" s="85">
        <v>3.7000000000000002E-3</v>
      </c>
      <c r="J16" s="85">
        <v>1E-4</v>
      </c>
      <c r="K16">
        <v>5</v>
      </c>
      <c r="L16" s="86">
        <v>250</v>
      </c>
      <c r="M16">
        <v>30</v>
      </c>
      <c r="N16" s="87">
        <v>120000</v>
      </c>
      <c r="O16" t="b">
        <v>0</v>
      </c>
    </row>
    <row r="17" spans="1:15">
      <c r="A17" t="s">
        <v>1119</v>
      </c>
      <c r="B17" t="s">
        <v>34</v>
      </c>
      <c r="C17" t="s">
        <v>35</v>
      </c>
      <c r="D17" t="s">
        <v>36</v>
      </c>
      <c r="E17" t="s">
        <v>37</v>
      </c>
      <c r="F17" t="s">
        <v>38</v>
      </c>
      <c r="G17" t="s">
        <v>39</v>
      </c>
      <c r="H17" t="b">
        <v>1</v>
      </c>
      <c r="I17" s="85">
        <v>2567.79</v>
      </c>
      <c r="J17" s="85">
        <v>128.38999999999999</v>
      </c>
      <c r="K17">
        <v>10</v>
      </c>
      <c r="L17" s="86">
        <v>800</v>
      </c>
      <c r="M17">
        <v>30</v>
      </c>
      <c r="N17" s="87">
        <v>0</v>
      </c>
      <c r="O17" t="b">
        <v>0</v>
      </c>
    </row>
    <row r="18" spans="1:15">
      <c r="A18" t="s">
        <v>1119</v>
      </c>
      <c r="B18" t="s">
        <v>34</v>
      </c>
      <c r="C18" t="s">
        <v>35</v>
      </c>
      <c r="D18" t="s">
        <v>36</v>
      </c>
      <c r="E18" t="s">
        <v>37</v>
      </c>
      <c r="F18" t="s">
        <v>515</v>
      </c>
      <c r="G18" t="s">
        <v>516</v>
      </c>
      <c r="H18" t="b">
        <v>0</v>
      </c>
      <c r="I18" s="85">
        <v>2365.75</v>
      </c>
      <c r="J18" s="85">
        <v>118.29</v>
      </c>
      <c r="K18">
        <v>10</v>
      </c>
      <c r="L18" s="86">
        <v>250</v>
      </c>
      <c r="M18">
        <v>60</v>
      </c>
      <c r="N18" s="87">
        <v>40000</v>
      </c>
      <c r="O18" t="b">
        <v>1</v>
      </c>
    </row>
    <row r="19" spans="1:15">
      <c r="A19" t="s">
        <v>1120</v>
      </c>
      <c r="B19" t="s">
        <v>41</v>
      </c>
      <c r="C19" t="s">
        <v>42</v>
      </c>
      <c r="D19" t="s">
        <v>43</v>
      </c>
      <c r="E19" t="s">
        <v>37</v>
      </c>
      <c r="F19" t="s">
        <v>44</v>
      </c>
      <c r="G19" t="s">
        <v>45</v>
      </c>
      <c r="H19" t="b">
        <v>1</v>
      </c>
      <c r="I19" s="85">
        <v>9.82</v>
      </c>
      <c r="J19" s="85">
        <v>0.49099999999999999</v>
      </c>
      <c r="K19">
        <v>3</v>
      </c>
      <c r="L19" s="86">
        <v>250</v>
      </c>
      <c r="M19">
        <v>30</v>
      </c>
      <c r="N19" s="87">
        <v>0</v>
      </c>
      <c r="O19" t="b">
        <v>0</v>
      </c>
    </row>
    <row r="20" spans="1:15">
      <c r="A20" t="s">
        <v>1120</v>
      </c>
      <c r="B20" t="s">
        <v>41</v>
      </c>
      <c r="C20" t="s">
        <v>42</v>
      </c>
      <c r="D20" t="s">
        <v>43</v>
      </c>
      <c r="E20" t="s">
        <v>37</v>
      </c>
      <c r="F20" t="s">
        <v>70</v>
      </c>
      <c r="G20" t="s">
        <v>71</v>
      </c>
      <c r="H20" t="b">
        <v>0</v>
      </c>
      <c r="I20" s="85">
        <v>8.82</v>
      </c>
      <c r="J20" s="85">
        <v>0.44090000000000001</v>
      </c>
      <c r="K20">
        <v>4</v>
      </c>
      <c r="L20" s="86">
        <v>800</v>
      </c>
      <c r="M20">
        <v>30</v>
      </c>
      <c r="N20" s="87">
        <v>40000</v>
      </c>
      <c r="O20" t="b">
        <v>1</v>
      </c>
    </row>
    <row r="21" spans="1:15">
      <c r="A21" t="s">
        <v>1121</v>
      </c>
      <c r="B21" t="s">
        <v>140</v>
      </c>
      <c r="C21" t="s">
        <v>141</v>
      </c>
      <c r="D21" t="s">
        <v>142</v>
      </c>
      <c r="E21" t="s">
        <v>84</v>
      </c>
      <c r="F21" t="s">
        <v>143</v>
      </c>
      <c r="G21" t="s">
        <v>144</v>
      </c>
      <c r="H21" t="b">
        <v>1</v>
      </c>
      <c r="I21" s="85">
        <v>1.2500000000000001E-2</v>
      </c>
      <c r="J21" s="85">
        <v>2.9999999999999997E-4</v>
      </c>
      <c r="K21">
        <v>2</v>
      </c>
      <c r="L21" s="86">
        <v>250</v>
      </c>
      <c r="M21">
        <v>45</v>
      </c>
      <c r="N21" s="87">
        <v>0</v>
      </c>
      <c r="O21" t="b">
        <v>0</v>
      </c>
    </row>
    <row r="22" spans="1:15">
      <c r="A22" t="s">
        <v>1121</v>
      </c>
      <c r="B22" t="s">
        <v>140</v>
      </c>
      <c r="C22" t="s">
        <v>141</v>
      </c>
      <c r="D22" t="s">
        <v>142</v>
      </c>
      <c r="E22" t="s">
        <v>84</v>
      </c>
      <c r="F22" t="s">
        <v>121</v>
      </c>
      <c r="G22" t="s">
        <v>122</v>
      </c>
      <c r="H22" t="b">
        <v>0</v>
      </c>
      <c r="I22" s="85">
        <v>1.0800000000000001E-2</v>
      </c>
      <c r="J22" s="85">
        <v>5.0000000000000001E-4</v>
      </c>
      <c r="K22">
        <v>4</v>
      </c>
      <c r="L22" s="86">
        <v>800</v>
      </c>
      <c r="M22">
        <v>45</v>
      </c>
      <c r="N22" s="87">
        <v>15000</v>
      </c>
      <c r="O22" t="b">
        <v>1</v>
      </c>
    </row>
    <row r="23" spans="1:15">
      <c r="A23" t="s">
        <v>1122</v>
      </c>
      <c r="B23" t="s">
        <v>105</v>
      </c>
      <c r="C23" t="s">
        <v>106</v>
      </c>
      <c r="D23" t="s">
        <v>107</v>
      </c>
      <c r="E23" t="s">
        <v>101</v>
      </c>
      <c r="F23" t="s">
        <v>108</v>
      </c>
      <c r="G23" t="s">
        <v>109</v>
      </c>
      <c r="H23" t="b">
        <v>1</v>
      </c>
      <c r="I23" s="85">
        <v>50109.19</v>
      </c>
      <c r="J23" s="85">
        <v>2505.46</v>
      </c>
      <c r="K23">
        <v>18</v>
      </c>
      <c r="L23" s="86">
        <v>800</v>
      </c>
      <c r="M23">
        <v>60</v>
      </c>
      <c r="N23" s="87">
        <v>0</v>
      </c>
      <c r="O23" t="b">
        <v>0</v>
      </c>
    </row>
    <row r="24" spans="1:15">
      <c r="A24" t="s">
        <v>1122</v>
      </c>
      <c r="B24" t="s">
        <v>105</v>
      </c>
      <c r="C24" t="s">
        <v>106</v>
      </c>
      <c r="D24" t="s">
        <v>107</v>
      </c>
      <c r="E24" t="s">
        <v>101</v>
      </c>
      <c r="F24" t="s">
        <v>102</v>
      </c>
      <c r="G24" t="s">
        <v>103</v>
      </c>
      <c r="H24" t="b">
        <v>0</v>
      </c>
      <c r="I24" s="85">
        <v>42567.54</v>
      </c>
      <c r="J24" s="85">
        <v>851.35</v>
      </c>
      <c r="K24">
        <v>19</v>
      </c>
      <c r="L24" s="86">
        <v>2500</v>
      </c>
      <c r="M24">
        <v>30</v>
      </c>
      <c r="N24" s="87">
        <v>120000</v>
      </c>
      <c r="O24" t="b">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840A7-2E6D-4F17-A329-8D581BD853DA}">
  <dimension ref="A1:Y473"/>
  <sheetViews>
    <sheetView workbookViewId="0">
      <pane ySplit="1" topLeftCell="A2" activePane="bottomLeft" state="frozen"/>
      <selection pane="bottomLeft" activeCell="A2" sqref="A2"/>
    </sheetView>
  </sheetViews>
  <sheetFormatPr defaultRowHeight="15"/>
  <cols>
    <col min="1" max="1" width="9.5703125" bestFit="1" customWidth="1"/>
    <col min="2" max="2" width="13.42578125" bestFit="1" customWidth="1"/>
    <col min="3" max="3" width="30.140625" bestFit="1" customWidth="1"/>
    <col min="4" max="4" width="19.5703125" bestFit="1" customWidth="1"/>
    <col min="5" max="5" width="8.140625" bestFit="1" customWidth="1"/>
    <col min="6" max="6" width="13.28515625" bestFit="1" customWidth="1"/>
    <col min="7" max="7" width="23.5703125" bestFit="1" customWidth="1"/>
    <col min="8" max="8" width="18.140625" bestFit="1" customWidth="1"/>
    <col min="9" max="9" width="10.5703125" bestFit="1" customWidth="1"/>
    <col min="10" max="10" width="12" bestFit="1" customWidth="1"/>
    <col min="11" max="11" width="12.28515625" bestFit="1" customWidth="1"/>
    <col min="12" max="12" width="10.5703125" bestFit="1" customWidth="1"/>
    <col min="13" max="13" width="16.85546875" bestFit="1" customWidth="1"/>
    <col min="14" max="14" width="14.5703125" bestFit="1" customWidth="1"/>
    <col min="15" max="15" width="14.85546875" bestFit="1" customWidth="1"/>
    <col min="16" max="16" width="12.42578125" bestFit="1" customWidth="1"/>
    <col min="17" max="17" width="11.28515625" bestFit="1" customWidth="1"/>
    <col min="18" max="18" width="9.28515625" bestFit="1" customWidth="1"/>
    <col min="19" max="19" width="7.28515625" bestFit="1" customWidth="1"/>
    <col min="20" max="20" width="18.140625" bestFit="1" customWidth="1"/>
    <col min="21" max="21" width="13.42578125" bestFit="1" customWidth="1"/>
    <col min="22" max="22" width="15.5703125" bestFit="1" customWidth="1"/>
    <col min="23" max="23" width="13.5703125" bestFit="1" customWidth="1"/>
    <col min="24" max="24" width="17.140625" bestFit="1" customWidth="1"/>
    <col min="25" max="25" width="12.7109375" bestFit="1" customWidth="1"/>
  </cols>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F2" t="s">
        <v>30</v>
      </c>
      <c r="G2" t="s">
        <v>31</v>
      </c>
      <c r="H2" s="1">
        <v>45181</v>
      </c>
      <c r="I2" s="1">
        <v>45185</v>
      </c>
      <c r="J2" s="86">
        <v>31200</v>
      </c>
      <c r="K2" s="88">
        <v>116.32</v>
      </c>
      <c r="L2" s="88">
        <v>118</v>
      </c>
      <c r="M2" s="1">
        <v>45227</v>
      </c>
      <c r="N2" s="1">
        <v>45224</v>
      </c>
      <c r="O2" s="86">
        <v>31200</v>
      </c>
      <c r="P2" t="s">
        <v>32</v>
      </c>
      <c r="Q2">
        <v>1</v>
      </c>
      <c r="R2">
        <v>1</v>
      </c>
      <c r="S2">
        <v>1</v>
      </c>
      <c r="T2" s="89">
        <v>39</v>
      </c>
      <c r="U2">
        <v>2023</v>
      </c>
      <c r="V2" s="90">
        <v>45170</v>
      </c>
      <c r="W2" s="87">
        <v>3629184</v>
      </c>
      <c r="X2" s="87">
        <v>3681600</v>
      </c>
      <c r="Y2" s="87">
        <v>-52416.000000000211</v>
      </c>
    </row>
    <row r="3" spans="1:25">
      <c r="A3" t="s">
        <v>33</v>
      </c>
      <c r="B3" t="s">
        <v>34</v>
      </c>
      <c r="C3" t="s">
        <v>35</v>
      </c>
      <c r="D3" t="s">
        <v>36</v>
      </c>
      <c r="E3" t="s">
        <v>37</v>
      </c>
      <c r="F3" t="s">
        <v>38</v>
      </c>
      <c r="G3" t="s">
        <v>39</v>
      </c>
      <c r="H3" s="1">
        <v>45181</v>
      </c>
      <c r="I3" s="1">
        <v>45185</v>
      </c>
      <c r="J3" s="86">
        <v>1092</v>
      </c>
      <c r="K3" s="88">
        <v>2382.9699999999998</v>
      </c>
      <c r="L3" s="88">
        <v>2400</v>
      </c>
      <c r="M3" s="1">
        <v>45255</v>
      </c>
      <c r="N3" s="1">
        <v>45253</v>
      </c>
      <c r="O3" s="86">
        <v>1092</v>
      </c>
      <c r="P3" t="s">
        <v>32</v>
      </c>
      <c r="Q3">
        <v>1</v>
      </c>
      <c r="R3">
        <v>1</v>
      </c>
      <c r="S3">
        <v>1</v>
      </c>
      <c r="T3" s="89">
        <v>68</v>
      </c>
      <c r="U3">
        <v>2023</v>
      </c>
      <c r="V3" s="90">
        <v>45170</v>
      </c>
      <c r="W3" s="87">
        <v>2602203.2399999998</v>
      </c>
      <c r="X3" s="87">
        <v>2620800</v>
      </c>
      <c r="Y3" s="87">
        <v>-18596.76000000022</v>
      </c>
    </row>
    <row r="4" spans="1:25">
      <c r="A4" t="s">
        <v>40</v>
      </c>
      <c r="B4" t="s">
        <v>41</v>
      </c>
      <c r="C4" t="s">
        <v>42</v>
      </c>
      <c r="D4" t="s">
        <v>43</v>
      </c>
      <c r="E4" t="s">
        <v>37</v>
      </c>
      <c r="F4" t="s">
        <v>44</v>
      </c>
      <c r="G4" t="s">
        <v>45</v>
      </c>
      <c r="H4" s="1">
        <v>45180</v>
      </c>
      <c r="I4" s="1">
        <v>45183</v>
      </c>
      <c r="J4" s="86">
        <v>56160</v>
      </c>
      <c r="K4" s="88">
        <v>9.3800000000000008</v>
      </c>
      <c r="L4" s="88">
        <v>9.5</v>
      </c>
      <c r="M4" s="1">
        <v>45204</v>
      </c>
      <c r="N4" s="1">
        <v>45201</v>
      </c>
      <c r="O4" s="86">
        <v>56160</v>
      </c>
      <c r="P4" t="s">
        <v>32</v>
      </c>
      <c r="Q4">
        <v>1</v>
      </c>
      <c r="R4">
        <v>1</v>
      </c>
      <c r="S4">
        <v>1</v>
      </c>
      <c r="T4" s="89">
        <v>18</v>
      </c>
      <c r="U4">
        <v>2023</v>
      </c>
      <c r="V4" s="90">
        <v>45170</v>
      </c>
      <c r="W4" s="87">
        <v>526780.80000000005</v>
      </c>
      <c r="X4" s="87">
        <v>533520</v>
      </c>
      <c r="Y4" s="87">
        <v>-6739.1999999999562</v>
      </c>
    </row>
    <row r="5" spans="1:25">
      <c r="A5" t="s">
        <v>46</v>
      </c>
      <c r="B5" t="s">
        <v>47</v>
      </c>
      <c r="C5" t="s">
        <v>48</v>
      </c>
      <c r="D5" t="s">
        <v>49</v>
      </c>
      <c r="E5" t="s">
        <v>50</v>
      </c>
      <c r="F5" t="s">
        <v>51</v>
      </c>
      <c r="G5" t="s">
        <v>52</v>
      </c>
      <c r="H5" s="1">
        <v>45180</v>
      </c>
      <c r="I5" s="1">
        <v>45183</v>
      </c>
      <c r="J5" s="86">
        <v>187.2</v>
      </c>
      <c r="K5" s="88">
        <v>1823.48</v>
      </c>
      <c r="L5" s="88">
        <v>1850</v>
      </c>
      <c r="M5" s="1">
        <v>45239</v>
      </c>
      <c r="N5" s="1">
        <v>45248</v>
      </c>
      <c r="O5" s="86">
        <v>187.2</v>
      </c>
      <c r="P5" t="s">
        <v>32</v>
      </c>
      <c r="Q5">
        <v>0</v>
      </c>
      <c r="R5">
        <v>1</v>
      </c>
      <c r="S5">
        <v>0</v>
      </c>
      <c r="T5" s="89">
        <v>65</v>
      </c>
      <c r="U5">
        <v>2023</v>
      </c>
      <c r="V5" s="90">
        <v>45170</v>
      </c>
      <c r="W5" s="87">
        <v>341355.45600000001</v>
      </c>
      <c r="X5" s="87">
        <v>346320</v>
      </c>
      <c r="Y5" s="87">
        <v>-4964.5439999999962</v>
      </c>
    </row>
    <row r="6" spans="1:25">
      <c r="A6" t="s">
        <v>53</v>
      </c>
      <c r="B6" t="s">
        <v>54</v>
      </c>
      <c r="C6" t="s">
        <v>55</v>
      </c>
      <c r="D6" t="s">
        <v>49</v>
      </c>
      <c r="E6" t="s">
        <v>56</v>
      </c>
      <c r="F6" t="s">
        <v>57</v>
      </c>
      <c r="G6" t="s">
        <v>58</v>
      </c>
      <c r="H6" s="1">
        <v>45180</v>
      </c>
      <c r="I6" s="1">
        <v>45181</v>
      </c>
      <c r="J6" s="86">
        <v>28080</v>
      </c>
      <c r="K6" s="88">
        <v>27.79</v>
      </c>
      <c r="L6" s="88">
        <v>28</v>
      </c>
      <c r="M6" s="1">
        <v>45223</v>
      </c>
      <c r="N6" s="1">
        <v>45222</v>
      </c>
      <c r="O6" s="86">
        <v>28080</v>
      </c>
      <c r="P6" t="s">
        <v>32</v>
      </c>
      <c r="Q6">
        <v>1</v>
      </c>
      <c r="R6">
        <v>1</v>
      </c>
      <c r="S6">
        <v>1</v>
      </c>
      <c r="T6" s="89">
        <v>41</v>
      </c>
      <c r="U6">
        <v>2023</v>
      </c>
      <c r="V6" s="90">
        <v>45170</v>
      </c>
      <c r="W6" s="87">
        <v>780343.2</v>
      </c>
      <c r="X6" s="87">
        <v>786240</v>
      </c>
      <c r="Y6" s="87">
        <v>-5896.8000000000238</v>
      </c>
    </row>
    <row r="7" spans="1:25">
      <c r="A7" t="s">
        <v>59</v>
      </c>
      <c r="B7" t="s">
        <v>60</v>
      </c>
      <c r="C7" t="s">
        <v>61</v>
      </c>
      <c r="D7" t="s">
        <v>49</v>
      </c>
      <c r="E7" t="s">
        <v>56</v>
      </c>
      <c r="F7" t="s">
        <v>57</v>
      </c>
      <c r="G7" t="s">
        <v>58</v>
      </c>
      <c r="H7" s="1">
        <v>45182</v>
      </c>
      <c r="I7" s="1">
        <v>45187</v>
      </c>
      <c r="J7" s="86">
        <v>2496</v>
      </c>
      <c r="K7" s="88">
        <v>402.11</v>
      </c>
      <c r="L7" s="88">
        <v>410</v>
      </c>
      <c r="M7" s="1">
        <v>45229</v>
      </c>
      <c r="N7" s="1">
        <v>45227</v>
      </c>
      <c r="O7" s="86">
        <v>2496</v>
      </c>
      <c r="P7" t="s">
        <v>32</v>
      </c>
      <c r="Q7">
        <v>1</v>
      </c>
      <c r="R7">
        <v>1</v>
      </c>
      <c r="S7">
        <v>1</v>
      </c>
      <c r="T7" s="89">
        <v>40</v>
      </c>
      <c r="U7">
        <v>2023</v>
      </c>
      <c r="V7" s="90">
        <v>45170</v>
      </c>
      <c r="W7" s="87">
        <v>1003666.56</v>
      </c>
      <c r="X7" s="87">
        <v>1023360</v>
      </c>
      <c r="Y7" s="87">
        <v>-19693.439999999966</v>
      </c>
    </row>
    <row r="8" spans="1:25">
      <c r="A8" t="s">
        <v>62</v>
      </c>
      <c r="B8" t="s">
        <v>63</v>
      </c>
      <c r="C8" t="s">
        <v>64</v>
      </c>
      <c r="D8" t="s">
        <v>49</v>
      </c>
      <c r="E8" t="s">
        <v>56</v>
      </c>
      <c r="F8" t="s">
        <v>65</v>
      </c>
      <c r="G8" t="s">
        <v>66</v>
      </c>
      <c r="H8" s="1">
        <v>45182</v>
      </c>
      <c r="I8" s="1">
        <v>45184</v>
      </c>
      <c r="J8" s="86">
        <v>3744</v>
      </c>
      <c r="K8" s="88">
        <v>156.71</v>
      </c>
      <c r="L8" s="88">
        <v>160</v>
      </c>
      <c r="M8" s="1">
        <v>45212</v>
      </c>
      <c r="N8" s="1">
        <v>45209</v>
      </c>
      <c r="O8" s="86">
        <v>3744</v>
      </c>
      <c r="P8" t="s">
        <v>32</v>
      </c>
      <c r="Q8">
        <v>1</v>
      </c>
      <c r="R8">
        <v>1</v>
      </c>
      <c r="S8">
        <v>1</v>
      </c>
      <c r="T8" s="89">
        <v>25</v>
      </c>
      <c r="U8">
        <v>2023</v>
      </c>
      <c r="V8" s="90">
        <v>45170</v>
      </c>
      <c r="W8" s="87">
        <v>586722.24</v>
      </c>
      <c r="X8" s="87">
        <v>599040</v>
      </c>
      <c r="Y8" s="87">
        <v>-12317.759999999969</v>
      </c>
    </row>
    <row r="9" spans="1:25">
      <c r="A9" t="s">
        <v>67</v>
      </c>
      <c r="B9" t="s">
        <v>68</v>
      </c>
      <c r="C9" t="s">
        <v>69</v>
      </c>
      <c r="D9" t="s">
        <v>43</v>
      </c>
      <c r="E9" t="s">
        <v>37</v>
      </c>
      <c r="F9" t="s">
        <v>70</v>
      </c>
      <c r="G9" t="s">
        <v>71</v>
      </c>
      <c r="H9" s="1">
        <v>45180</v>
      </c>
      <c r="I9" s="1">
        <v>45182</v>
      </c>
      <c r="J9" s="86">
        <v>187200</v>
      </c>
      <c r="K9" s="88">
        <v>4.13</v>
      </c>
      <c r="L9" s="88">
        <v>4.2</v>
      </c>
      <c r="M9" s="1">
        <v>45203</v>
      </c>
      <c r="N9" s="1">
        <v>45202</v>
      </c>
      <c r="O9" s="86">
        <v>187200</v>
      </c>
      <c r="P9" t="s">
        <v>32</v>
      </c>
      <c r="Q9">
        <v>1</v>
      </c>
      <c r="R9">
        <v>1</v>
      </c>
      <c r="S9">
        <v>1</v>
      </c>
      <c r="T9" s="89">
        <v>20</v>
      </c>
      <c r="U9">
        <v>2023</v>
      </c>
      <c r="V9" s="90">
        <v>45170</v>
      </c>
      <c r="W9" s="87">
        <v>773136</v>
      </c>
      <c r="X9" s="87">
        <v>786240</v>
      </c>
      <c r="Y9" s="87">
        <v>-13104.000000000053</v>
      </c>
    </row>
    <row r="10" spans="1:25">
      <c r="A10" t="s">
        <v>72</v>
      </c>
      <c r="B10" t="s">
        <v>73</v>
      </c>
      <c r="C10" t="s">
        <v>74</v>
      </c>
      <c r="D10" t="s">
        <v>43</v>
      </c>
      <c r="E10" t="s">
        <v>37</v>
      </c>
      <c r="F10" t="s">
        <v>70</v>
      </c>
      <c r="G10" t="s">
        <v>71</v>
      </c>
      <c r="H10" s="1">
        <v>45182</v>
      </c>
      <c r="I10" s="1">
        <v>45183</v>
      </c>
      <c r="J10" s="86">
        <v>78000</v>
      </c>
      <c r="K10" s="88">
        <v>6.76</v>
      </c>
      <c r="L10" s="88">
        <v>6.8</v>
      </c>
      <c r="M10" s="1">
        <v>45204</v>
      </c>
      <c r="N10" s="1">
        <v>45202</v>
      </c>
      <c r="O10" s="86">
        <v>78000</v>
      </c>
      <c r="P10" t="s">
        <v>32</v>
      </c>
      <c r="Q10">
        <v>1</v>
      </c>
      <c r="R10">
        <v>1</v>
      </c>
      <c r="S10">
        <v>1</v>
      </c>
      <c r="T10" s="89">
        <v>19</v>
      </c>
      <c r="U10">
        <v>2023</v>
      </c>
      <c r="V10" s="90">
        <v>45170</v>
      </c>
      <c r="W10" s="87">
        <v>527280</v>
      </c>
      <c r="X10" s="87">
        <v>530400</v>
      </c>
      <c r="Y10" s="87">
        <v>-3120.0000000000027</v>
      </c>
    </row>
    <row r="11" spans="1:25">
      <c r="A11" t="s">
        <v>75</v>
      </c>
      <c r="B11" t="s">
        <v>76</v>
      </c>
      <c r="C11" t="s">
        <v>77</v>
      </c>
      <c r="D11" t="s">
        <v>78</v>
      </c>
      <c r="E11" t="s">
        <v>37</v>
      </c>
      <c r="F11" t="s">
        <v>79</v>
      </c>
      <c r="G11" t="s">
        <v>80</v>
      </c>
      <c r="H11" s="1">
        <v>45182</v>
      </c>
      <c r="I11" s="1">
        <v>45184</v>
      </c>
      <c r="J11" s="86">
        <v>18720</v>
      </c>
      <c r="K11" s="88">
        <v>38.49</v>
      </c>
      <c r="L11" s="88">
        <v>38</v>
      </c>
      <c r="M11" s="1">
        <v>45219</v>
      </c>
      <c r="N11" s="1">
        <v>45218</v>
      </c>
      <c r="O11" s="86">
        <v>18720</v>
      </c>
      <c r="P11" t="s">
        <v>32</v>
      </c>
      <c r="Q11">
        <v>1</v>
      </c>
      <c r="R11">
        <v>1</v>
      </c>
      <c r="S11">
        <v>1</v>
      </c>
      <c r="T11" s="89">
        <v>34</v>
      </c>
      <c r="U11">
        <v>2023</v>
      </c>
      <c r="V11" s="90">
        <v>45170</v>
      </c>
      <c r="W11" s="87">
        <v>720532.8</v>
      </c>
      <c r="X11" s="87">
        <v>711360</v>
      </c>
      <c r="Y11" s="87">
        <v>9172.8000000000375</v>
      </c>
    </row>
    <row r="12" spans="1:25">
      <c r="A12" t="s">
        <v>81</v>
      </c>
      <c r="B12" t="s">
        <v>82</v>
      </c>
      <c r="C12" t="s">
        <v>83</v>
      </c>
      <c r="D12" t="s">
        <v>78</v>
      </c>
      <c r="E12" t="s">
        <v>84</v>
      </c>
      <c r="F12" t="s">
        <v>79</v>
      </c>
      <c r="G12" t="s">
        <v>80</v>
      </c>
      <c r="H12" s="1">
        <v>45182</v>
      </c>
      <c r="I12" s="1">
        <v>45185</v>
      </c>
      <c r="J12" s="86">
        <v>374.4</v>
      </c>
      <c r="K12" s="88">
        <v>522.83000000000004</v>
      </c>
      <c r="L12" s="88">
        <v>520</v>
      </c>
      <c r="M12" s="1">
        <v>45220</v>
      </c>
      <c r="N12" s="1">
        <v>45217</v>
      </c>
      <c r="O12" s="86">
        <v>374.4</v>
      </c>
      <c r="P12" t="s">
        <v>32</v>
      </c>
      <c r="Q12">
        <v>1</v>
      </c>
      <c r="R12">
        <v>1</v>
      </c>
      <c r="S12">
        <v>1</v>
      </c>
      <c r="T12" s="89">
        <v>32</v>
      </c>
      <c r="U12">
        <v>2023</v>
      </c>
      <c r="V12" s="90">
        <v>45170</v>
      </c>
      <c r="W12" s="87">
        <v>195747.552</v>
      </c>
      <c r="X12" s="87">
        <v>194688</v>
      </c>
      <c r="Y12" s="87">
        <v>1059.5520000000154</v>
      </c>
    </row>
    <row r="13" spans="1:25">
      <c r="A13" t="s">
        <v>85</v>
      </c>
      <c r="B13" t="s">
        <v>86</v>
      </c>
      <c r="C13" t="s">
        <v>87</v>
      </c>
      <c r="D13" t="s">
        <v>88</v>
      </c>
      <c r="E13" t="s">
        <v>84</v>
      </c>
      <c r="F13" t="s">
        <v>89</v>
      </c>
      <c r="G13" t="s">
        <v>90</v>
      </c>
      <c r="H13" s="1">
        <v>45181</v>
      </c>
      <c r="I13" s="1">
        <v>45183</v>
      </c>
      <c r="J13" s="86">
        <v>18.72</v>
      </c>
      <c r="K13" s="88">
        <v>9341.8799999999992</v>
      </c>
      <c r="L13" s="88">
        <v>9500</v>
      </c>
      <c r="M13" s="1">
        <v>45246</v>
      </c>
      <c r="N13" s="1">
        <v>45244</v>
      </c>
      <c r="O13" s="86">
        <v>18.72</v>
      </c>
      <c r="P13" t="s">
        <v>32</v>
      </c>
      <c r="Q13">
        <v>1</v>
      </c>
      <c r="R13">
        <v>1</v>
      </c>
      <c r="S13">
        <v>1</v>
      </c>
      <c r="T13" s="89">
        <v>61</v>
      </c>
      <c r="U13">
        <v>2023</v>
      </c>
      <c r="V13" s="90">
        <v>45170</v>
      </c>
      <c r="W13" s="87">
        <v>174879.99359999999</v>
      </c>
      <c r="X13" s="87">
        <v>177840</v>
      </c>
      <c r="Y13" s="87">
        <v>-2960.0064000000148</v>
      </c>
    </row>
    <row r="14" spans="1:25">
      <c r="A14" t="s">
        <v>91</v>
      </c>
      <c r="B14" t="s">
        <v>92</v>
      </c>
      <c r="C14" t="s">
        <v>93</v>
      </c>
      <c r="D14" t="s">
        <v>94</v>
      </c>
      <c r="E14" t="s">
        <v>56</v>
      </c>
      <c r="F14" t="s">
        <v>95</v>
      </c>
      <c r="G14" t="s">
        <v>96</v>
      </c>
      <c r="H14" s="1">
        <v>45180</v>
      </c>
      <c r="I14" s="1">
        <v>45183</v>
      </c>
      <c r="J14" s="86">
        <v>124.8</v>
      </c>
      <c r="K14" s="88">
        <v>3899.69</v>
      </c>
      <c r="L14" s="88">
        <v>3900</v>
      </c>
      <c r="M14" s="1">
        <v>45253</v>
      </c>
      <c r="N14" s="1">
        <v>45256</v>
      </c>
      <c r="O14" s="86">
        <v>124.8</v>
      </c>
      <c r="P14" t="s">
        <v>32</v>
      </c>
      <c r="Q14">
        <v>0</v>
      </c>
      <c r="R14">
        <v>1</v>
      </c>
      <c r="S14">
        <v>0</v>
      </c>
      <c r="T14" s="89">
        <v>73</v>
      </c>
      <c r="U14">
        <v>2023</v>
      </c>
      <c r="V14" s="90">
        <v>45170</v>
      </c>
      <c r="W14" s="87">
        <v>486681.31199999998</v>
      </c>
      <c r="X14" s="87">
        <v>486720</v>
      </c>
      <c r="Y14" s="87">
        <v>-38.687999999993188</v>
      </c>
    </row>
    <row r="15" spans="1:25">
      <c r="A15" t="s">
        <v>97</v>
      </c>
      <c r="B15" t="s">
        <v>98</v>
      </c>
      <c r="C15" t="s">
        <v>99</v>
      </c>
      <c r="D15" t="s">
        <v>100</v>
      </c>
      <c r="E15" t="s">
        <v>101</v>
      </c>
      <c r="F15" t="s">
        <v>102</v>
      </c>
      <c r="G15" t="s">
        <v>103</v>
      </c>
      <c r="H15" s="1">
        <v>45182</v>
      </c>
      <c r="I15" s="1">
        <v>45185</v>
      </c>
      <c r="J15" s="86">
        <v>24.96</v>
      </c>
      <c r="K15" s="88">
        <v>6084.32</v>
      </c>
      <c r="L15" s="88">
        <v>6200</v>
      </c>
      <c r="M15" s="1">
        <v>45234</v>
      </c>
      <c r="N15" s="1">
        <v>45231</v>
      </c>
      <c r="O15" s="86">
        <v>24.96</v>
      </c>
      <c r="P15" t="s">
        <v>32</v>
      </c>
      <c r="Q15">
        <v>1</v>
      </c>
      <c r="R15">
        <v>1</v>
      </c>
      <c r="S15">
        <v>1</v>
      </c>
      <c r="T15" s="89">
        <v>46</v>
      </c>
      <c r="U15">
        <v>2023</v>
      </c>
      <c r="V15" s="90">
        <v>45170</v>
      </c>
      <c r="W15" s="87">
        <v>151864.62719999999</v>
      </c>
      <c r="X15" s="87">
        <v>154752</v>
      </c>
      <c r="Y15" s="87">
        <v>-2887.3728000000074</v>
      </c>
    </row>
    <row r="16" spans="1:25">
      <c r="A16" t="s">
        <v>104</v>
      </c>
      <c r="B16" t="s">
        <v>105</v>
      </c>
      <c r="C16" t="s">
        <v>106</v>
      </c>
      <c r="D16" t="s">
        <v>107</v>
      </c>
      <c r="E16" t="s">
        <v>101</v>
      </c>
      <c r="F16" t="s">
        <v>108</v>
      </c>
      <c r="G16" t="s">
        <v>109</v>
      </c>
      <c r="H16" s="1">
        <v>45182</v>
      </c>
      <c r="I16" s="1">
        <v>45183</v>
      </c>
      <c r="J16" s="86">
        <v>3.0249999999999999</v>
      </c>
      <c r="K16" s="88">
        <v>47187.45</v>
      </c>
      <c r="L16" s="88">
        <v>48000</v>
      </c>
      <c r="M16" s="1">
        <v>45309</v>
      </c>
      <c r="N16" s="1">
        <v>45306</v>
      </c>
      <c r="O16" s="86">
        <v>3.0249999999999999</v>
      </c>
      <c r="P16" t="s">
        <v>32</v>
      </c>
      <c r="Q16">
        <v>1</v>
      </c>
      <c r="R16">
        <v>1</v>
      </c>
      <c r="S16">
        <v>1</v>
      </c>
      <c r="T16" s="89">
        <v>123</v>
      </c>
      <c r="U16">
        <v>2023</v>
      </c>
      <c r="V16" s="90">
        <v>45170</v>
      </c>
      <c r="W16" s="87">
        <v>142742.03624999998</v>
      </c>
      <c r="X16" s="87">
        <v>145200</v>
      </c>
      <c r="Y16" s="87">
        <v>-2457.9637500000085</v>
      </c>
    </row>
    <row r="17" spans="1:25">
      <c r="A17" t="s">
        <v>110</v>
      </c>
      <c r="B17" t="s">
        <v>111</v>
      </c>
      <c r="C17" t="s">
        <v>112</v>
      </c>
      <c r="D17" t="s">
        <v>113</v>
      </c>
      <c r="E17" t="s">
        <v>84</v>
      </c>
      <c r="F17" t="s">
        <v>114</v>
      </c>
      <c r="G17" t="s">
        <v>115</v>
      </c>
      <c r="H17" s="1">
        <v>45181</v>
      </c>
      <c r="I17" s="1">
        <v>45184</v>
      </c>
      <c r="J17" s="86">
        <v>29669868.673999999</v>
      </c>
      <c r="K17" s="88">
        <v>0.1095</v>
      </c>
      <c r="L17" s="88">
        <v>0.11</v>
      </c>
      <c r="M17" s="1">
        <v>45254</v>
      </c>
      <c r="N17" s="1">
        <v>45252</v>
      </c>
      <c r="O17" s="86">
        <v>29669868.673999999</v>
      </c>
      <c r="P17" t="s">
        <v>32</v>
      </c>
      <c r="Q17">
        <v>1</v>
      </c>
      <c r="R17">
        <v>1</v>
      </c>
      <c r="S17">
        <v>1</v>
      </c>
      <c r="T17" s="89">
        <v>68</v>
      </c>
      <c r="U17">
        <v>2023</v>
      </c>
      <c r="V17" s="90">
        <v>45170</v>
      </c>
      <c r="W17" s="87">
        <v>3248850.6198029998</v>
      </c>
      <c r="X17" s="87">
        <v>3263685.5541399997</v>
      </c>
      <c r="Y17" s="87">
        <v>-14834.934337000013</v>
      </c>
    </row>
    <row r="18" spans="1:25">
      <c r="A18" t="s">
        <v>116</v>
      </c>
      <c r="B18" t="s">
        <v>117</v>
      </c>
      <c r="C18" t="s">
        <v>118</v>
      </c>
      <c r="D18" t="s">
        <v>119</v>
      </c>
      <c r="E18" t="s">
        <v>120</v>
      </c>
      <c r="F18" t="s">
        <v>121</v>
      </c>
      <c r="G18" t="s">
        <v>122</v>
      </c>
      <c r="H18" s="1">
        <v>45182</v>
      </c>
      <c r="I18" s="1">
        <v>45185</v>
      </c>
      <c r="J18" s="86">
        <v>17801921.204999998</v>
      </c>
      <c r="K18" s="88">
        <v>4.0000000000000001E-3</v>
      </c>
      <c r="L18" s="88">
        <v>4.0000000000000001E-3</v>
      </c>
      <c r="M18" s="1">
        <v>45220</v>
      </c>
      <c r="N18" s="1">
        <v>45219</v>
      </c>
      <c r="O18" s="86">
        <v>17801921.204999998</v>
      </c>
      <c r="P18" t="s">
        <v>32</v>
      </c>
      <c r="Q18">
        <v>1</v>
      </c>
      <c r="R18">
        <v>1</v>
      </c>
      <c r="S18">
        <v>1</v>
      </c>
      <c r="T18" s="89">
        <v>34</v>
      </c>
      <c r="U18">
        <v>2023</v>
      </c>
      <c r="V18" s="90">
        <v>45170</v>
      </c>
      <c r="W18" s="87">
        <v>71207.684819999995</v>
      </c>
      <c r="X18" s="87">
        <v>71207.684819999995</v>
      </c>
      <c r="Y18" s="87">
        <v>0</v>
      </c>
    </row>
    <row r="19" spans="1:25">
      <c r="A19" t="s">
        <v>123</v>
      </c>
      <c r="B19" t="s">
        <v>124</v>
      </c>
      <c r="C19" t="s">
        <v>125</v>
      </c>
      <c r="D19" t="s">
        <v>119</v>
      </c>
      <c r="E19" t="s">
        <v>126</v>
      </c>
      <c r="F19" t="s">
        <v>121</v>
      </c>
      <c r="G19" t="s">
        <v>122</v>
      </c>
      <c r="H19" s="1">
        <v>45181</v>
      </c>
      <c r="I19" s="1">
        <v>45185</v>
      </c>
      <c r="J19" s="86">
        <v>10384454.036</v>
      </c>
      <c r="K19" s="88">
        <v>1.9599999999999999E-2</v>
      </c>
      <c r="L19" s="88">
        <v>0.02</v>
      </c>
      <c r="M19" s="1">
        <v>45220</v>
      </c>
      <c r="N19" s="1">
        <v>45218</v>
      </c>
      <c r="O19" s="86">
        <v>10384454.036</v>
      </c>
      <c r="P19" t="s">
        <v>32</v>
      </c>
      <c r="Q19">
        <v>1</v>
      </c>
      <c r="R19">
        <v>1</v>
      </c>
      <c r="S19">
        <v>1</v>
      </c>
      <c r="T19" s="89">
        <v>33</v>
      </c>
      <c r="U19">
        <v>2023</v>
      </c>
      <c r="V19" s="90">
        <v>45170</v>
      </c>
      <c r="W19" s="87">
        <v>203535.29910559999</v>
      </c>
      <c r="X19" s="87">
        <v>207689.08072</v>
      </c>
      <c r="Y19" s="87">
        <v>-4153.7816144000108</v>
      </c>
    </row>
    <row r="20" spans="1:25">
      <c r="A20" t="s">
        <v>127</v>
      </c>
      <c r="B20" t="s">
        <v>128</v>
      </c>
      <c r="C20" t="s">
        <v>129</v>
      </c>
      <c r="D20" t="s">
        <v>130</v>
      </c>
      <c r="E20" t="s">
        <v>84</v>
      </c>
      <c r="F20" t="s">
        <v>131</v>
      </c>
      <c r="G20" t="s">
        <v>132</v>
      </c>
      <c r="H20" s="1">
        <v>45181</v>
      </c>
      <c r="I20" s="1">
        <v>45182</v>
      </c>
      <c r="J20" s="86">
        <v>1.375</v>
      </c>
      <c r="K20" s="88">
        <v>65368.05</v>
      </c>
      <c r="L20" s="88">
        <v>65000</v>
      </c>
      <c r="M20" s="1">
        <v>45252</v>
      </c>
      <c r="N20" s="1">
        <v>45252</v>
      </c>
      <c r="O20" s="86">
        <v>1.375</v>
      </c>
      <c r="P20" t="s">
        <v>32</v>
      </c>
      <c r="Q20">
        <v>1</v>
      </c>
      <c r="R20">
        <v>1</v>
      </c>
      <c r="S20">
        <v>1</v>
      </c>
      <c r="T20" s="89">
        <v>70</v>
      </c>
      <c r="U20">
        <v>2023</v>
      </c>
      <c r="V20" s="90">
        <v>45170</v>
      </c>
      <c r="W20" s="87">
        <v>89881.068750000006</v>
      </c>
      <c r="X20" s="87">
        <v>89375</v>
      </c>
      <c r="Y20" s="87">
        <v>506.068750000004</v>
      </c>
    </row>
    <row r="21" spans="1:25">
      <c r="A21" t="s">
        <v>133</v>
      </c>
      <c r="B21" t="s">
        <v>134</v>
      </c>
      <c r="C21" t="s">
        <v>135</v>
      </c>
      <c r="D21" t="s">
        <v>136</v>
      </c>
      <c r="E21" t="s">
        <v>101</v>
      </c>
      <c r="F21" t="s">
        <v>137</v>
      </c>
      <c r="G21" t="s">
        <v>138</v>
      </c>
      <c r="H21" s="1">
        <v>45181</v>
      </c>
      <c r="I21" s="1">
        <v>45183</v>
      </c>
      <c r="J21" s="86">
        <v>83557.951000000001</v>
      </c>
      <c r="K21" s="88">
        <v>6.45</v>
      </c>
      <c r="L21" s="88">
        <v>6.5</v>
      </c>
      <c r="M21" s="1">
        <v>45239</v>
      </c>
      <c r="N21" s="1">
        <v>45236</v>
      </c>
      <c r="O21" s="86">
        <v>83557.951000000001</v>
      </c>
      <c r="P21" t="s">
        <v>32</v>
      </c>
      <c r="Q21">
        <v>1</v>
      </c>
      <c r="R21">
        <v>1</v>
      </c>
      <c r="S21">
        <v>1</v>
      </c>
      <c r="T21" s="89">
        <v>53</v>
      </c>
      <c r="U21">
        <v>2023</v>
      </c>
      <c r="V21" s="90">
        <v>45170</v>
      </c>
      <c r="W21" s="87">
        <v>538948.78395000007</v>
      </c>
      <c r="X21" s="87">
        <v>543126.68149999995</v>
      </c>
      <c r="Y21" s="87">
        <v>-4177.8975499999851</v>
      </c>
    </row>
    <row r="22" spans="1:25">
      <c r="A22" t="s">
        <v>139</v>
      </c>
      <c r="B22" t="s">
        <v>140</v>
      </c>
      <c r="C22" t="s">
        <v>141</v>
      </c>
      <c r="D22" t="s">
        <v>142</v>
      </c>
      <c r="E22" t="s">
        <v>84</v>
      </c>
      <c r="F22" t="s">
        <v>143</v>
      </c>
      <c r="G22" t="s">
        <v>144</v>
      </c>
      <c r="H22" s="1">
        <v>45180</v>
      </c>
      <c r="I22" s="1">
        <v>45183</v>
      </c>
      <c r="J22" s="86">
        <v>29753426.625</v>
      </c>
      <c r="K22" s="88">
        <v>1.18E-2</v>
      </c>
      <c r="L22" s="88">
        <v>1.2E-2</v>
      </c>
      <c r="M22" s="1">
        <v>45197</v>
      </c>
      <c r="N22" s="1">
        <v>45195</v>
      </c>
      <c r="O22" s="86">
        <v>25873634.905000001</v>
      </c>
      <c r="P22" t="s">
        <v>32</v>
      </c>
      <c r="Q22">
        <v>1</v>
      </c>
      <c r="R22">
        <v>0</v>
      </c>
      <c r="S22">
        <v>0</v>
      </c>
      <c r="T22" s="89">
        <v>12</v>
      </c>
      <c r="U22">
        <v>2023</v>
      </c>
      <c r="V22" s="90">
        <v>45170</v>
      </c>
      <c r="W22" s="87">
        <v>305308.891879</v>
      </c>
      <c r="X22" s="87">
        <v>310483.61886000005</v>
      </c>
      <c r="Y22" s="87">
        <v>-5174.7269810000134</v>
      </c>
    </row>
    <row r="23" spans="1:25">
      <c r="A23" t="s">
        <v>145</v>
      </c>
      <c r="B23" t="s">
        <v>105</v>
      </c>
      <c r="C23" t="s">
        <v>106</v>
      </c>
      <c r="D23" t="s">
        <v>107</v>
      </c>
      <c r="E23" t="s">
        <v>101</v>
      </c>
      <c r="F23" t="s">
        <v>108</v>
      </c>
      <c r="G23" t="s">
        <v>109</v>
      </c>
      <c r="H23" s="1">
        <v>45195</v>
      </c>
      <c r="I23" s="1">
        <v>45196</v>
      </c>
      <c r="J23" s="86">
        <v>3</v>
      </c>
      <c r="K23" s="88">
        <v>47075.71</v>
      </c>
      <c r="L23" s="88">
        <v>48000</v>
      </c>
      <c r="M23" s="1">
        <v>45322</v>
      </c>
      <c r="N23" s="1">
        <v>45321</v>
      </c>
      <c r="O23" s="86">
        <v>3</v>
      </c>
      <c r="P23" t="s">
        <v>32</v>
      </c>
      <c r="Q23">
        <v>1</v>
      </c>
      <c r="R23">
        <v>1</v>
      </c>
      <c r="S23">
        <v>1</v>
      </c>
      <c r="T23" s="89">
        <v>125</v>
      </c>
      <c r="U23">
        <v>2023</v>
      </c>
      <c r="V23" s="90">
        <v>45170</v>
      </c>
      <c r="W23" s="87">
        <v>141227.13</v>
      </c>
      <c r="X23" s="87">
        <v>144000</v>
      </c>
      <c r="Y23" s="87">
        <v>-2772.8700000000026</v>
      </c>
    </row>
    <row r="24" spans="1:25">
      <c r="A24" t="s">
        <v>146</v>
      </c>
      <c r="B24" t="s">
        <v>134</v>
      </c>
      <c r="C24" t="s">
        <v>135</v>
      </c>
      <c r="D24" t="s">
        <v>136</v>
      </c>
      <c r="E24" t="s">
        <v>101</v>
      </c>
      <c r="F24" t="s">
        <v>137</v>
      </c>
      <c r="G24" t="s">
        <v>138</v>
      </c>
      <c r="H24" s="1">
        <v>45217</v>
      </c>
      <c r="I24" s="1">
        <v>45219</v>
      </c>
      <c r="J24" s="86">
        <v>66180.67</v>
      </c>
      <c r="K24" s="88">
        <v>6.45</v>
      </c>
      <c r="L24" s="88">
        <v>6.5</v>
      </c>
      <c r="M24" s="1">
        <v>45275</v>
      </c>
      <c r="N24" s="1">
        <v>45272</v>
      </c>
      <c r="O24" s="86">
        <v>66180.67</v>
      </c>
      <c r="P24" t="s">
        <v>32</v>
      </c>
      <c r="Q24">
        <v>1</v>
      </c>
      <c r="R24">
        <v>1</v>
      </c>
      <c r="S24">
        <v>1</v>
      </c>
      <c r="T24" s="89">
        <v>53</v>
      </c>
      <c r="U24">
        <v>2023</v>
      </c>
      <c r="V24" s="90">
        <v>45200</v>
      </c>
      <c r="W24" s="87">
        <v>426865.32150000002</v>
      </c>
      <c r="X24" s="87">
        <v>430174.35499999998</v>
      </c>
      <c r="Y24" s="87">
        <v>-3309.0334999999882</v>
      </c>
    </row>
    <row r="25" spans="1:25">
      <c r="A25" t="s">
        <v>147</v>
      </c>
      <c r="B25" t="s">
        <v>140</v>
      </c>
      <c r="C25" t="s">
        <v>141</v>
      </c>
      <c r="D25" t="s">
        <v>142</v>
      </c>
      <c r="E25" t="s">
        <v>84</v>
      </c>
      <c r="F25" t="s">
        <v>143</v>
      </c>
      <c r="G25" t="s">
        <v>144</v>
      </c>
      <c r="H25" s="1">
        <v>45216</v>
      </c>
      <c r="I25" s="1">
        <v>45218</v>
      </c>
      <c r="J25" s="86">
        <v>26067154.412</v>
      </c>
      <c r="K25" s="88">
        <v>1.1900000000000001E-2</v>
      </c>
      <c r="L25" s="88">
        <v>1.2E-2</v>
      </c>
      <c r="M25" s="1">
        <v>45232</v>
      </c>
      <c r="N25" s="1">
        <v>45231</v>
      </c>
      <c r="O25" s="86">
        <v>26067154.412</v>
      </c>
      <c r="P25" t="s">
        <v>32</v>
      </c>
      <c r="Q25">
        <v>1</v>
      </c>
      <c r="R25">
        <v>1</v>
      </c>
      <c r="S25">
        <v>1</v>
      </c>
      <c r="T25" s="89">
        <v>13</v>
      </c>
      <c r="U25">
        <v>2023</v>
      </c>
      <c r="V25" s="90">
        <v>45200</v>
      </c>
      <c r="W25" s="87">
        <v>310199.13750280003</v>
      </c>
      <c r="X25" s="87">
        <v>312805.85294399998</v>
      </c>
      <c r="Y25" s="87">
        <v>-2606.7154411999841</v>
      </c>
    </row>
    <row r="26" spans="1:25">
      <c r="A26" t="s">
        <v>148</v>
      </c>
      <c r="B26" t="s">
        <v>26</v>
      </c>
      <c r="C26" t="s">
        <v>27</v>
      </c>
      <c r="D26" t="s">
        <v>28</v>
      </c>
      <c r="E26" t="s">
        <v>29</v>
      </c>
      <c r="F26" t="s">
        <v>149</v>
      </c>
      <c r="G26" t="s">
        <v>150</v>
      </c>
      <c r="H26" s="1">
        <v>45223</v>
      </c>
      <c r="I26" s="1">
        <v>45226</v>
      </c>
      <c r="J26" s="86">
        <v>28730.491999999998</v>
      </c>
      <c r="K26" s="88">
        <v>117.74</v>
      </c>
      <c r="L26" s="88">
        <v>118</v>
      </c>
      <c r="M26" s="1">
        <v>45268</v>
      </c>
      <c r="N26" s="1">
        <v>45265</v>
      </c>
      <c r="O26" s="86">
        <v>28730.491999999998</v>
      </c>
      <c r="P26" t="s">
        <v>32</v>
      </c>
      <c r="Q26">
        <v>1</v>
      </c>
      <c r="R26">
        <v>1</v>
      </c>
      <c r="S26">
        <v>1</v>
      </c>
      <c r="T26" s="89">
        <v>39</v>
      </c>
      <c r="U26">
        <v>2023</v>
      </c>
      <c r="V26" s="90">
        <v>45200</v>
      </c>
      <c r="W26" s="87">
        <v>3382728.1280799997</v>
      </c>
      <c r="X26" s="87">
        <v>3390198.0559999999</v>
      </c>
      <c r="Y26" s="87">
        <v>-7469.9279200001465</v>
      </c>
    </row>
    <row r="27" spans="1:25">
      <c r="A27" t="s">
        <v>151</v>
      </c>
      <c r="B27" t="s">
        <v>34</v>
      </c>
      <c r="C27" t="s">
        <v>35</v>
      </c>
      <c r="D27" t="s">
        <v>36</v>
      </c>
      <c r="E27" t="s">
        <v>37</v>
      </c>
      <c r="F27" t="s">
        <v>38</v>
      </c>
      <c r="G27" t="s">
        <v>39</v>
      </c>
      <c r="H27" s="1">
        <v>45222</v>
      </c>
      <c r="I27" s="1">
        <v>45224</v>
      </c>
      <c r="J27" s="86">
        <v>1005.375</v>
      </c>
      <c r="K27" s="88">
        <v>2371.5</v>
      </c>
      <c r="L27" s="88">
        <v>2400</v>
      </c>
      <c r="M27" s="1">
        <v>45294</v>
      </c>
      <c r="N27" s="1">
        <v>45293</v>
      </c>
      <c r="O27" s="86">
        <v>1005.375</v>
      </c>
      <c r="P27" t="s">
        <v>32</v>
      </c>
      <c r="Q27">
        <v>1</v>
      </c>
      <c r="R27">
        <v>1</v>
      </c>
      <c r="S27">
        <v>1</v>
      </c>
      <c r="T27" s="89">
        <v>69</v>
      </c>
      <c r="U27">
        <v>2023</v>
      </c>
      <c r="V27" s="90">
        <v>45200</v>
      </c>
      <c r="W27" s="87">
        <v>2384246.8125</v>
      </c>
      <c r="X27" s="87">
        <v>2412900</v>
      </c>
      <c r="Y27" s="87">
        <v>-28653.1875</v>
      </c>
    </row>
    <row r="28" spans="1:25">
      <c r="A28" t="s">
        <v>152</v>
      </c>
      <c r="B28" t="s">
        <v>41</v>
      </c>
      <c r="C28" t="s">
        <v>42</v>
      </c>
      <c r="D28" t="s">
        <v>43</v>
      </c>
      <c r="E28" t="s">
        <v>37</v>
      </c>
      <c r="F28" t="s">
        <v>44</v>
      </c>
      <c r="G28" t="s">
        <v>45</v>
      </c>
      <c r="H28" s="1">
        <v>45222</v>
      </c>
      <c r="I28" s="1">
        <v>45228</v>
      </c>
      <c r="J28" s="86">
        <v>51708.953999999998</v>
      </c>
      <c r="K28" s="88">
        <v>9.4</v>
      </c>
      <c r="L28" s="88">
        <v>9.5</v>
      </c>
      <c r="M28" s="1">
        <v>45249</v>
      </c>
      <c r="N28" s="1">
        <v>45249</v>
      </c>
      <c r="O28" s="86">
        <v>51708.953999999998</v>
      </c>
      <c r="P28" t="s">
        <v>32</v>
      </c>
      <c r="Q28">
        <v>1</v>
      </c>
      <c r="R28">
        <v>1</v>
      </c>
      <c r="S28">
        <v>1</v>
      </c>
      <c r="T28" s="89">
        <v>21</v>
      </c>
      <c r="U28">
        <v>2023</v>
      </c>
      <c r="V28" s="90">
        <v>45200</v>
      </c>
      <c r="W28" s="87">
        <v>486064.16759999999</v>
      </c>
      <c r="X28" s="87">
        <v>491235.06299999997</v>
      </c>
      <c r="Y28" s="87">
        <v>-5170.8953999999812</v>
      </c>
    </row>
    <row r="29" spans="1:25">
      <c r="A29" t="s">
        <v>153</v>
      </c>
      <c r="B29" t="s">
        <v>47</v>
      </c>
      <c r="C29" t="s">
        <v>48</v>
      </c>
      <c r="D29" t="s">
        <v>49</v>
      </c>
      <c r="E29" t="s">
        <v>50</v>
      </c>
      <c r="F29" t="s">
        <v>51</v>
      </c>
      <c r="G29" t="s">
        <v>52</v>
      </c>
      <c r="H29" s="1">
        <v>45222</v>
      </c>
      <c r="I29" s="1">
        <v>45225</v>
      </c>
      <c r="J29" s="86">
        <v>172.35</v>
      </c>
      <c r="K29" s="88">
        <v>1850.71</v>
      </c>
      <c r="L29" s="88">
        <v>1850</v>
      </c>
      <c r="M29" s="1">
        <v>45281</v>
      </c>
      <c r="N29" s="1">
        <v>45280</v>
      </c>
      <c r="O29" s="86">
        <v>172.35</v>
      </c>
      <c r="P29" t="s">
        <v>32</v>
      </c>
      <c r="Q29">
        <v>1</v>
      </c>
      <c r="R29">
        <v>1</v>
      </c>
      <c r="S29">
        <v>1</v>
      </c>
      <c r="T29" s="89">
        <v>55</v>
      </c>
      <c r="U29">
        <v>2023</v>
      </c>
      <c r="V29" s="90">
        <v>45200</v>
      </c>
      <c r="W29" s="87">
        <v>318969.86849999998</v>
      </c>
      <c r="X29" s="87">
        <v>318847.5</v>
      </c>
      <c r="Y29" s="87">
        <v>122.36850000000626</v>
      </c>
    </row>
    <row r="30" spans="1:25">
      <c r="A30" t="s">
        <v>154</v>
      </c>
      <c r="B30" t="s">
        <v>54</v>
      </c>
      <c r="C30" t="s">
        <v>55</v>
      </c>
      <c r="D30" t="s">
        <v>49</v>
      </c>
      <c r="E30" t="s">
        <v>56</v>
      </c>
      <c r="F30" t="s">
        <v>57</v>
      </c>
      <c r="G30" t="s">
        <v>58</v>
      </c>
      <c r="H30" s="1">
        <v>45224</v>
      </c>
      <c r="I30" s="1">
        <v>45228</v>
      </c>
      <c r="J30" s="86">
        <v>25924.962</v>
      </c>
      <c r="K30" s="88">
        <v>28.05</v>
      </c>
      <c r="L30" s="88">
        <v>28</v>
      </c>
      <c r="M30" s="1">
        <v>45270</v>
      </c>
      <c r="N30" s="1">
        <v>45268</v>
      </c>
      <c r="O30" s="86">
        <v>25924.962</v>
      </c>
      <c r="P30" t="s">
        <v>32</v>
      </c>
      <c r="Q30">
        <v>1</v>
      </c>
      <c r="R30">
        <v>1</v>
      </c>
      <c r="S30">
        <v>1</v>
      </c>
      <c r="T30" s="89">
        <v>40</v>
      </c>
      <c r="U30">
        <v>2023</v>
      </c>
      <c r="V30" s="90">
        <v>45200</v>
      </c>
      <c r="W30" s="87">
        <v>727195.18409999995</v>
      </c>
      <c r="X30" s="87">
        <v>725898.93599999999</v>
      </c>
      <c r="Y30" s="87">
        <v>1296.2481000000184</v>
      </c>
    </row>
    <row r="31" spans="1:25">
      <c r="A31" t="s">
        <v>155</v>
      </c>
      <c r="B31" t="s">
        <v>60</v>
      </c>
      <c r="C31" t="s">
        <v>61</v>
      </c>
      <c r="D31" t="s">
        <v>49</v>
      </c>
      <c r="E31" t="s">
        <v>56</v>
      </c>
      <c r="F31" t="s">
        <v>57</v>
      </c>
      <c r="G31" t="s">
        <v>58</v>
      </c>
      <c r="H31" s="1">
        <v>45223</v>
      </c>
      <c r="I31" s="1">
        <v>45226</v>
      </c>
      <c r="J31" s="86">
        <v>2299.63</v>
      </c>
      <c r="K31" s="88">
        <v>401.11</v>
      </c>
      <c r="L31" s="88">
        <v>410</v>
      </c>
      <c r="M31" s="1">
        <v>45268</v>
      </c>
      <c r="N31" s="1">
        <v>45267</v>
      </c>
      <c r="O31" s="86">
        <v>2299.63</v>
      </c>
      <c r="P31" t="s">
        <v>32</v>
      </c>
      <c r="Q31">
        <v>1</v>
      </c>
      <c r="R31">
        <v>1</v>
      </c>
      <c r="S31">
        <v>1</v>
      </c>
      <c r="T31" s="89">
        <v>41</v>
      </c>
      <c r="U31">
        <v>2023</v>
      </c>
      <c r="V31" s="90">
        <v>45200</v>
      </c>
      <c r="W31" s="87">
        <v>922404.58930000011</v>
      </c>
      <c r="X31" s="87">
        <v>942848.3</v>
      </c>
      <c r="Y31" s="87">
        <v>-20443.710699999971</v>
      </c>
    </row>
    <row r="32" spans="1:25">
      <c r="A32" t="s">
        <v>156</v>
      </c>
      <c r="B32" t="s">
        <v>63</v>
      </c>
      <c r="C32" t="s">
        <v>64</v>
      </c>
      <c r="D32" t="s">
        <v>49</v>
      </c>
      <c r="E32" t="s">
        <v>56</v>
      </c>
      <c r="F32" t="s">
        <v>65</v>
      </c>
      <c r="G32" t="s">
        <v>66</v>
      </c>
      <c r="H32" s="1">
        <v>45224</v>
      </c>
      <c r="I32" s="1">
        <v>45225</v>
      </c>
      <c r="J32" s="86">
        <v>3447.0520000000001</v>
      </c>
      <c r="K32" s="88">
        <v>162.27000000000001</v>
      </c>
      <c r="L32" s="88">
        <v>160</v>
      </c>
      <c r="M32" s="1">
        <v>45253</v>
      </c>
      <c r="N32" s="1">
        <v>45250</v>
      </c>
      <c r="O32" s="86">
        <v>3447.0520000000001</v>
      </c>
      <c r="P32" t="s">
        <v>32</v>
      </c>
      <c r="Q32">
        <v>1</v>
      </c>
      <c r="R32">
        <v>1</v>
      </c>
      <c r="S32">
        <v>1</v>
      </c>
      <c r="T32" s="89">
        <v>25</v>
      </c>
      <c r="U32">
        <v>2023</v>
      </c>
      <c r="V32" s="90">
        <v>45200</v>
      </c>
      <c r="W32" s="87">
        <v>559353.1280400001</v>
      </c>
      <c r="X32" s="87">
        <v>551528.32000000007</v>
      </c>
      <c r="Y32" s="87">
        <v>7824.8080400000354</v>
      </c>
    </row>
    <row r="33" spans="1:25">
      <c r="A33" t="s">
        <v>157</v>
      </c>
      <c r="B33" t="s">
        <v>68</v>
      </c>
      <c r="C33" t="s">
        <v>69</v>
      </c>
      <c r="D33" t="s">
        <v>43</v>
      </c>
      <c r="E33" t="s">
        <v>37</v>
      </c>
      <c r="F33" t="s">
        <v>70</v>
      </c>
      <c r="G33" t="s">
        <v>71</v>
      </c>
      <c r="H33" s="1">
        <v>45222</v>
      </c>
      <c r="I33" s="1">
        <v>45225</v>
      </c>
      <c r="J33" s="86">
        <v>172381.008</v>
      </c>
      <c r="K33" s="88">
        <v>4.24</v>
      </c>
      <c r="L33" s="88">
        <v>4.2</v>
      </c>
      <c r="M33" s="1">
        <v>45246</v>
      </c>
      <c r="N33" s="1">
        <v>45246</v>
      </c>
      <c r="O33" s="86">
        <v>172381.008</v>
      </c>
      <c r="P33" t="s">
        <v>32</v>
      </c>
      <c r="Q33">
        <v>1</v>
      </c>
      <c r="R33">
        <v>1</v>
      </c>
      <c r="S33">
        <v>1</v>
      </c>
      <c r="T33" s="89">
        <v>21</v>
      </c>
      <c r="U33">
        <v>2023</v>
      </c>
      <c r="V33" s="90">
        <v>45200</v>
      </c>
      <c r="W33" s="87">
        <v>730895.47392000002</v>
      </c>
      <c r="X33" s="87">
        <v>724000.23360000004</v>
      </c>
      <c r="Y33" s="87">
        <v>6895.2403200000062</v>
      </c>
    </row>
    <row r="34" spans="1:25">
      <c r="A34" t="s">
        <v>158</v>
      </c>
      <c r="B34" t="s">
        <v>73</v>
      </c>
      <c r="C34" t="s">
        <v>74</v>
      </c>
      <c r="D34" t="s">
        <v>43</v>
      </c>
      <c r="E34" t="s">
        <v>37</v>
      </c>
      <c r="F34" t="s">
        <v>70</v>
      </c>
      <c r="G34" t="s">
        <v>71</v>
      </c>
      <c r="H34" s="1">
        <v>45222</v>
      </c>
      <c r="I34" s="1">
        <v>45224</v>
      </c>
      <c r="J34" s="86">
        <v>71929.342000000004</v>
      </c>
      <c r="K34" s="88">
        <v>6.91</v>
      </c>
      <c r="L34" s="88">
        <v>6.8</v>
      </c>
      <c r="M34" s="1">
        <v>45245</v>
      </c>
      <c r="N34" s="1">
        <v>45250</v>
      </c>
      <c r="O34" s="86">
        <v>71929.342000000004</v>
      </c>
      <c r="P34" t="s">
        <v>32</v>
      </c>
      <c r="Q34">
        <v>0</v>
      </c>
      <c r="R34">
        <v>1</v>
      </c>
      <c r="S34">
        <v>0</v>
      </c>
      <c r="T34" s="89">
        <v>26</v>
      </c>
      <c r="U34">
        <v>2023</v>
      </c>
      <c r="V34" s="90">
        <v>45200</v>
      </c>
      <c r="W34" s="87">
        <v>497031.75322000001</v>
      </c>
      <c r="X34" s="87">
        <v>489119.52559999999</v>
      </c>
      <c r="Y34" s="87">
        <v>7912.2276200000233</v>
      </c>
    </row>
    <row r="35" spans="1:25">
      <c r="A35" t="s">
        <v>159</v>
      </c>
      <c r="B35" t="s">
        <v>76</v>
      </c>
      <c r="C35" t="s">
        <v>77</v>
      </c>
      <c r="D35" t="s">
        <v>78</v>
      </c>
      <c r="E35" t="s">
        <v>37</v>
      </c>
      <c r="F35" t="s">
        <v>79</v>
      </c>
      <c r="G35" t="s">
        <v>80</v>
      </c>
      <c r="H35" s="1">
        <v>45224</v>
      </c>
      <c r="I35" s="1">
        <v>45227</v>
      </c>
      <c r="J35" s="86">
        <v>17240.733</v>
      </c>
      <c r="K35" s="88">
        <v>38.14</v>
      </c>
      <c r="L35" s="88">
        <v>38</v>
      </c>
      <c r="M35" s="1">
        <v>45262</v>
      </c>
      <c r="N35" s="1">
        <v>45261</v>
      </c>
      <c r="O35" s="86">
        <v>17240.733</v>
      </c>
      <c r="P35" t="s">
        <v>32</v>
      </c>
      <c r="Q35">
        <v>1</v>
      </c>
      <c r="R35">
        <v>1</v>
      </c>
      <c r="S35">
        <v>1</v>
      </c>
      <c r="T35" s="89">
        <v>34</v>
      </c>
      <c r="U35">
        <v>2023</v>
      </c>
      <c r="V35" s="90">
        <v>45200</v>
      </c>
      <c r="W35" s="87">
        <v>657561.55662000005</v>
      </c>
      <c r="X35" s="87">
        <v>655147.85400000005</v>
      </c>
      <c r="Y35" s="87">
        <v>2413.70262000001</v>
      </c>
    </row>
    <row r="36" spans="1:25">
      <c r="A36" t="s">
        <v>160</v>
      </c>
      <c r="B36" t="s">
        <v>82</v>
      </c>
      <c r="C36" t="s">
        <v>83</v>
      </c>
      <c r="D36" t="s">
        <v>78</v>
      </c>
      <c r="E36" t="s">
        <v>84</v>
      </c>
      <c r="F36" t="s">
        <v>79</v>
      </c>
      <c r="G36" t="s">
        <v>80</v>
      </c>
      <c r="H36" s="1">
        <v>45223</v>
      </c>
      <c r="I36" s="1">
        <v>45226</v>
      </c>
      <c r="J36" s="86">
        <v>345.113</v>
      </c>
      <c r="K36" s="88">
        <v>509.75</v>
      </c>
      <c r="L36" s="88">
        <v>520</v>
      </c>
      <c r="M36" s="1">
        <v>45261</v>
      </c>
      <c r="N36" s="1">
        <v>45259</v>
      </c>
      <c r="O36" s="86">
        <v>345.113</v>
      </c>
      <c r="P36" t="s">
        <v>32</v>
      </c>
      <c r="Q36">
        <v>1</v>
      </c>
      <c r="R36">
        <v>1</v>
      </c>
      <c r="S36">
        <v>1</v>
      </c>
      <c r="T36" s="89">
        <v>33</v>
      </c>
      <c r="U36">
        <v>2023</v>
      </c>
      <c r="V36" s="90">
        <v>45200</v>
      </c>
      <c r="W36" s="87">
        <v>175921.35175</v>
      </c>
      <c r="X36" s="87">
        <v>179458.76</v>
      </c>
      <c r="Y36" s="87">
        <v>-3537.40825</v>
      </c>
    </row>
    <row r="37" spans="1:25">
      <c r="A37" t="s">
        <v>161</v>
      </c>
      <c r="B37" t="s">
        <v>86</v>
      </c>
      <c r="C37" t="s">
        <v>87</v>
      </c>
      <c r="D37" t="s">
        <v>88</v>
      </c>
      <c r="E37" t="s">
        <v>84</v>
      </c>
      <c r="F37" t="s">
        <v>89</v>
      </c>
      <c r="G37" t="s">
        <v>90</v>
      </c>
      <c r="H37" s="1">
        <v>45222</v>
      </c>
      <c r="I37" s="1">
        <v>45226</v>
      </c>
      <c r="J37" s="86">
        <v>17.234999999999999</v>
      </c>
      <c r="K37" s="88">
        <v>9400.51</v>
      </c>
      <c r="L37" s="88">
        <v>9500</v>
      </c>
      <c r="M37" s="1">
        <v>45289</v>
      </c>
      <c r="N37" s="1">
        <v>45287</v>
      </c>
      <c r="O37" s="86">
        <v>17.234999999999999</v>
      </c>
      <c r="P37" t="s">
        <v>32</v>
      </c>
      <c r="Q37">
        <v>1</v>
      </c>
      <c r="R37">
        <v>1</v>
      </c>
      <c r="S37">
        <v>1</v>
      </c>
      <c r="T37" s="89">
        <v>61</v>
      </c>
      <c r="U37">
        <v>2023</v>
      </c>
      <c r="V37" s="90">
        <v>45200</v>
      </c>
      <c r="W37" s="87">
        <v>162017.78985</v>
      </c>
      <c r="X37" s="87">
        <v>163732.5</v>
      </c>
      <c r="Y37" s="87">
        <v>-1714.7101499999962</v>
      </c>
    </row>
    <row r="38" spans="1:25">
      <c r="A38" t="s">
        <v>162</v>
      </c>
      <c r="B38" t="s">
        <v>92</v>
      </c>
      <c r="C38" t="s">
        <v>93</v>
      </c>
      <c r="D38" t="s">
        <v>94</v>
      </c>
      <c r="E38" t="s">
        <v>56</v>
      </c>
      <c r="F38" t="s">
        <v>95</v>
      </c>
      <c r="G38" t="s">
        <v>96</v>
      </c>
      <c r="H38" s="1">
        <v>45224</v>
      </c>
      <c r="I38" s="1">
        <v>45225</v>
      </c>
      <c r="J38" s="86">
        <v>114.9</v>
      </c>
      <c r="K38" s="88">
        <v>3881.65</v>
      </c>
      <c r="L38" s="88">
        <v>3900</v>
      </c>
      <c r="M38" s="1">
        <v>45295</v>
      </c>
      <c r="N38" s="1">
        <v>45293</v>
      </c>
      <c r="O38" s="86">
        <v>114.9</v>
      </c>
      <c r="P38" t="s">
        <v>32</v>
      </c>
      <c r="Q38">
        <v>1</v>
      </c>
      <c r="R38">
        <v>1</v>
      </c>
      <c r="S38">
        <v>1</v>
      </c>
      <c r="T38" s="89">
        <v>68</v>
      </c>
      <c r="U38">
        <v>2023</v>
      </c>
      <c r="V38" s="90">
        <v>45200</v>
      </c>
      <c r="W38" s="87">
        <v>446001.58500000002</v>
      </c>
      <c r="X38" s="87">
        <v>448110</v>
      </c>
      <c r="Y38" s="87">
        <v>-2108.4149999999895</v>
      </c>
    </row>
    <row r="39" spans="1:25">
      <c r="A39" t="s">
        <v>163</v>
      </c>
      <c r="B39" t="s">
        <v>98</v>
      </c>
      <c r="C39" t="s">
        <v>99</v>
      </c>
      <c r="D39" t="s">
        <v>100</v>
      </c>
      <c r="E39" t="s">
        <v>101</v>
      </c>
      <c r="F39" t="s">
        <v>102</v>
      </c>
      <c r="G39" t="s">
        <v>103</v>
      </c>
      <c r="H39" s="1">
        <v>45224</v>
      </c>
      <c r="I39" s="1">
        <v>45229</v>
      </c>
      <c r="J39" s="86">
        <v>22.98</v>
      </c>
      <c r="K39" s="88">
        <v>6189.9</v>
      </c>
      <c r="L39" s="88">
        <v>6200</v>
      </c>
      <c r="M39" s="1">
        <v>45278</v>
      </c>
      <c r="N39" s="1">
        <v>45300</v>
      </c>
      <c r="O39" s="86">
        <v>22.98</v>
      </c>
      <c r="P39" t="s">
        <v>32</v>
      </c>
      <c r="Q39">
        <v>0</v>
      </c>
      <c r="R39">
        <v>1</v>
      </c>
      <c r="S39">
        <v>0</v>
      </c>
      <c r="T39" s="89">
        <v>71</v>
      </c>
      <c r="U39">
        <v>2023</v>
      </c>
      <c r="V39" s="90">
        <v>45200</v>
      </c>
      <c r="W39" s="87">
        <v>142243.902</v>
      </c>
      <c r="X39" s="87">
        <v>142476</v>
      </c>
      <c r="Y39" s="87">
        <v>-232.09800000000837</v>
      </c>
    </row>
    <row r="40" spans="1:25">
      <c r="A40" t="s">
        <v>164</v>
      </c>
      <c r="B40" t="s">
        <v>105</v>
      </c>
      <c r="C40" t="s">
        <v>106</v>
      </c>
      <c r="D40" t="s">
        <v>107</v>
      </c>
      <c r="E40" t="s">
        <v>101</v>
      </c>
      <c r="F40" t="s">
        <v>108</v>
      </c>
      <c r="G40" t="s">
        <v>109</v>
      </c>
      <c r="H40" s="1">
        <v>45224</v>
      </c>
      <c r="I40" s="1">
        <v>45227</v>
      </c>
      <c r="J40" s="86">
        <v>3</v>
      </c>
      <c r="K40" s="88">
        <v>47801.06</v>
      </c>
      <c r="L40" s="88">
        <v>48000</v>
      </c>
      <c r="M40" s="1">
        <v>45353</v>
      </c>
      <c r="N40" s="1">
        <v>45350</v>
      </c>
      <c r="O40" s="86">
        <v>3</v>
      </c>
      <c r="P40" t="s">
        <v>32</v>
      </c>
      <c r="Q40">
        <v>1</v>
      </c>
      <c r="R40">
        <v>1</v>
      </c>
      <c r="S40">
        <v>1</v>
      </c>
      <c r="T40" s="89">
        <v>123</v>
      </c>
      <c r="U40">
        <v>2023</v>
      </c>
      <c r="V40" s="90">
        <v>45200</v>
      </c>
      <c r="W40" s="87">
        <v>143403.18</v>
      </c>
      <c r="X40" s="87">
        <v>144000</v>
      </c>
      <c r="Y40" s="87">
        <v>-596.82000000000698</v>
      </c>
    </row>
    <row r="41" spans="1:25">
      <c r="A41" t="s">
        <v>165</v>
      </c>
      <c r="B41" t="s">
        <v>111</v>
      </c>
      <c r="C41" t="s">
        <v>112</v>
      </c>
      <c r="D41" t="s">
        <v>113</v>
      </c>
      <c r="E41" t="s">
        <v>84</v>
      </c>
      <c r="F41" t="s">
        <v>114</v>
      </c>
      <c r="G41" t="s">
        <v>115</v>
      </c>
      <c r="H41" s="1">
        <v>45224</v>
      </c>
      <c r="I41" s="1">
        <v>45226</v>
      </c>
      <c r="J41" s="86">
        <v>26362713.237</v>
      </c>
      <c r="K41" s="88">
        <v>0.1072</v>
      </c>
      <c r="L41" s="88">
        <v>0.11</v>
      </c>
      <c r="M41" s="1">
        <v>45296</v>
      </c>
      <c r="N41" s="1">
        <v>45306</v>
      </c>
      <c r="O41" s="86">
        <v>26362713.237</v>
      </c>
      <c r="P41" t="s">
        <v>32</v>
      </c>
      <c r="Q41">
        <v>0</v>
      </c>
      <c r="R41">
        <v>1</v>
      </c>
      <c r="S41">
        <v>0</v>
      </c>
      <c r="T41" s="89">
        <v>80</v>
      </c>
      <c r="U41">
        <v>2023</v>
      </c>
      <c r="V41" s="90">
        <v>45200</v>
      </c>
      <c r="W41" s="87">
        <v>2826082.8590064002</v>
      </c>
      <c r="X41" s="87">
        <v>2899898.4560699998</v>
      </c>
      <c r="Y41" s="87">
        <v>-73815.597063599926</v>
      </c>
    </row>
    <row r="42" spans="1:25">
      <c r="A42" t="s">
        <v>166</v>
      </c>
      <c r="B42" t="s">
        <v>117</v>
      </c>
      <c r="C42" t="s">
        <v>118</v>
      </c>
      <c r="D42" t="s">
        <v>119</v>
      </c>
      <c r="E42" t="s">
        <v>120</v>
      </c>
      <c r="F42" t="s">
        <v>121</v>
      </c>
      <c r="G42" t="s">
        <v>122</v>
      </c>
      <c r="H42" s="1">
        <v>45222</v>
      </c>
      <c r="I42" s="1">
        <v>45223</v>
      </c>
      <c r="J42" s="86">
        <v>15854472.612</v>
      </c>
      <c r="K42" s="88">
        <v>4.0000000000000001E-3</v>
      </c>
      <c r="L42" s="88">
        <v>4.0000000000000001E-3</v>
      </c>
      <c r="M42" s="1">
        <v>45258</v>
      </c>
      <c r="N42" s="1">
        <v>45265</v>
      </c>
      <c r="O42" s="86">
        <v>15854472.612</v>
      </c>
      <c r="P42" t="s">
        <v>32</v>
      </c>
      <c r="Q42">
        <v>0</v>
      </c>
      <c r="R42">
        <v>1</v>
      </c>
      <c r="S42">
        <v>0</v>
      </c>
      <c r="T42" s="89">
        <v>42</v>
      </c>
      <c r="U42">
        <v>2023</v>
      </c>
      <c r="V42" s="90">
        <v>45200</v>
      </c>
      <c r="W42" s="87">
        <v>63417.890447999998</v>
      </c>
      <c r="X42" s="87">
        <v>63417.890447999998</v>
      </c>
      <c r="Y42" s="87">
        <v>0</v>
      </c>
    </row>
    <row r="43" spans="1:25">
      <c r="A43" t="s">
        <v>167</v>
      </c>
      <c r="B43" t="s">
        <v>124</v>
      </c>
      <c r="C43" t="s">
        <v>125</v>
      </c>
      <c r="D43" t="s">
        <v>119</v>
      </c>
      <c r="E43" t="s">
        <v>126</v>
      </c>
      <c r="F43" t="s">
        <v>121</v>
      </c>
      <c r="G43" t="s">
        <v>122</v>
      </c>
      <c r="H43" s="1">
        <v>45224</v>
      </c>
      <c r="I43" s="1">
        <v>45227</v>
      </c>
      <c r="J43" s="86">
        <v>9258227.3330000006</v>
      </c>
      <c r="K43" s="88">
        <v>1.9900000000000001E-2</v>
      </c>
      <c r="L43" s="88">
        <v>0.02</v>
      </c>
      <c r="M43" s="1">
        <v>45262</v>
      </c>
      <c r="N43" s="1">
        <v>45262</v>
      </c>
      <c r="O43" s="86">
        <v>9258227.3330000006</v>
      </c>
      <c r="P43" t="s">
        <v>32</v>
      </c>
      <c r="Q43">
        <v>1</v>
      </c>
      <c r="R43">
        <v>1</v>
      </c>
      <c r="S43">
        <v>1</v>
      </c>
      <c r="T43" s="89">
        <v>35</v>
      </c>
      <c r="U43">
        <v>2023</v>
      </c>
      <c r="V43" s="90">
        <v>45200</v>
      </c>
      <c r="W43" s="87">
        <v>184238.72392670001</v>
      </c>
      <c r="X43" s="87">
        <v>185164.54666000002</v>
      </c>
      <c r="Y43" s="87">
        <v>-925.82273329999441</v>
      </c>
    </row>
    <row r="44" spans="1:25">
      <c r="A44" t="s">
        <v>168</v>
      </c>
      <c r="B44" t="s">
        <v>105</v>
      </c>
      <c r="C44" t="s">
        <v>106</v>
      </c>
      <c r="D44" t="s">
        <v>107</v>
      </c>
      <c r="E44" t="s">
        <v>101</v>
      </c>
      <c r="F44" t="s">
        <v>108</v>
      </c>
      <c r="G44" t="s">
        <v>109</v>
      </c>
      <c r="H44" s="1">
        <v>45251</v>
      </c>
      <c r="I44" s="1">
        <v>45254</v>
      </c>
      <c r="J44" s="86">
        <v>4</v>
      </c>
      <c r="K44" s="88">
        <v>48077.599999999999</v>
      </c>
      <c r="L44" s="88">
        <v>48000</v>
      </c>
      <c r="M44" s="1">
        <v>45380</v>
      </c>
      <c r="N44" s="1">
        <v>45377</v>
      </c>
      <c r="O44" s="86">
        <v>4</v>
      </c>
      <c r="P44" t="s">
        <v>32</v>
      </c>
      <c r="Q44">
        <v>1</v>
      </c>
      <c r="R44">
        <v>1</v>
      </c>
      <c r="S44">
        <v>1</v>
      </c>
      <c r="T44" s="89">
        <v>123</v>
      </c>
      <c r="U44">
        <v>2023</v>
      </c>
      <c r="V44" s="90">
        <v>45231</v>
      </c>
      <c r="W44" s="87">
        <v>192310.39999999999</v>
      </c>
      <c r="X44" s="87">
        <v>192000</v>
      </c>
      <c r="Y44" s="87">
        <v>310.39999999999418</v>
      </c>
    </row>
    <row r="45" spans="1:25">
      <c r="A45" t="s">
        <v>169</v>
      </c>
      <c r="B45" t="s">
        <v>134</v>
      </c>
      <c r="C45" t="s">
        <v>135</v>
      </c>
      <c r="D45" t="s">
        <v>136</v>
      </c>
      <c r="E45" t="s">
        <v>101</v>
      </c>
      <c r="F45" t="s">
        <v>137</v>
      </c>
      <c r="G45" t="s">
        <v>138</v>
      </c>
      <c r="H45" s="1">
        <v>45251</v>
      </c>
      <c r="I45" s="1">
        <v>45256</v>
      </c>
      <c r="J45" s="86">
        <v>68554.228000000003</v>
      </c>
      <c r="K45" s="88">
        <v>6.38</v>
      </c>
      <c r="L45" s="88">
        <v>6.5</v>
      </c>
      <c r="M45" s="1">
        <v>45312</v>
      </c>
      <c r="N45" s="1">
        <v>45312</v>
      </c>
      <c r="O45" s="86">
        <v>68554.228000000003</v>
      </c>
      <c r="P45" t="s">
        <v>32</v>
      </c>
      <c r="Q45">
        <v>1</v>
      </c>
      <c r="R45">
        <v>1</v>
      </c>
      <c r="S45">
        <v>1</v>
      </c>
      <c r="T45" s="89">
        <v>56</v>
      </c>
      <c r="U45">
        <v>2023</v>
      </c>
      <c r="V45" s="90">
        <v>45231</v>
      </c>
      <c r="W45" s="87">
        <v>437375.97464000003</v>
      </c>
      <c r="X45" s="87">
        <v>445602.48200000002</v>
      </c>
      <c r="Y45" s="87">
        <v>-8226.5073600000069</v>
      </c>
    </row>
    <row r="46" spans="1:25">
      <c r="A46" t="s">
        <v>170</v>
      </c>
      <c r="B46" t="s">
        <v>34</v>
      </c>
      <c r="C46" t="s">
        <v>35</v>
      </c>
      <c r="D46" t="s">
        <v>36</v>
      </c>
      <c r="E46" t="s">
        <v>37</v>
      </c>
      <c r="F46" t="s">
        <v>38</v>
      </c>
      <c r="G46" t="s">
        <v>39</v>
      </c>
      <c r="H46" s="1">
        <v>45258</v>
      </c>
      <c r="I46" s="1">
        <v>45261</v>
      </c>
      <c r="J46" s="86">
        <v>840.255</v>
      </c>
      <c r="K46" s="88">
        <v>2404.9</v>
      </c>
      <c r="L46" s="88">
        <v>2400</v>
      </c>
      <c r="M46" s="1">
        <v>45331</v>
      </c>
      <c r="N46" s="1">
        <v>45331</v>
      </c>
      <c r="O46" s="86">
        <v>840.255</v>
      </c>
      <c r="P46" t="s">
        <v>32</v>
      </c>
      <c r="Q46">
        <v>1</v>
      </c>
      <c r="R46">
        <v>1</v>
      </c>
      <c r="S46">
        <v>1</v>
      </c>
      <c r="T46" s="89">
        <v>70</v>
      </c>
      <c r="U46">
        <v>2023</v>
      </c>
      <c r="V46" s="90">
        <v>45261</v>
      </c>
      <c r="W46" s="87">
        <v>2020729.2495000002</v>
      </c>
      <c r="X46" s="87">
        <v>2016612</v>
      </c>
      <c r="Y46" s="87">
        <v>4117.2495000000763</v>
      </c>
    </row>
    <row r="47" spans="1:25">
      <c r="A47" t="s">
        <v>171</v>
      </c>
      <c r="B47" t="s">
        <v>47</v>
      </c>
      <c r="C47" t="s">
        <v>48</v>
      </c>
      <c r="D47" t="s">
        <v>49</v>
      </c>
      <c r="E47" t="s">
        <v>50</v>
      </c>
      <c r="F47" t="s">
        <v>51</v>
      </c>
      <c r="G47" t="s">
        <v>52</v>
      </c>
      <c r="H47" s="1">
        <v>45258</v>
      </c>
      <c r="I47" s="1">
        <v>45259</v>
      </c>
      <c r="J47" s="86">
        <v>146.50700000000001</v>
      </c>
      <c r="K47" s="88">
        <v>1816.18</v>
      </c>
      <c r="L47" s="88">
        <v>1850</v>
      </c>
      <c r="M47" s="1">
        <v>45315</v>
      </c>
      <c r="N47" s="1">
        <v>45348</v>
      </c>
      <c r="O47" s="86">
        <v>146.50700000000001</v>
      </c>
      <c r="P47" t="s">
        <v>32</v>
      </c>
      <c r="Q47">
        <v>0</v>
      </c>
      <c r="R47">
        <v>1</v>
      </c>
      <c r="S47">
        <v>0</v>
      </c>
      <c r="T47" s="89">
        <v>89</v>
      </c>
      <c r="U47">
        <v>2023</v>
      </c>
      <c r="V47" s="90">
        <v>45231</v>
      </c>
      <c r="W47" s="87">
        <v>266083.08326000004</v>
      </c>
      <c r="X47" s="87">
        <v>271037.95</v>
      </c>
      <c r="Y47" s="87">
        <v>-4954.8667399999913</v>
      </c>
    </row>
    <row r="48" spans="1:25">
      <c r="A48" t="s">
        <v>172</v>
      </c>
      <c r="B48" t="s">
        <v>73</v>
      </c>
      <c r="C48" t="s">
        <v>74</v>
      </c>
      <c r="D48" t="s">
        <v>43</v>
      </c>
      <c r="E48" t="s">
        <v>37</v>
      </c>
      <c r="F48" t="s">
        <v>70</v>
      </c>
      <c r="G48" t="s">
        <v>71</v>
      </c>
      <c r="H48" s="1">
        <v>45258</v>
      </c>
      <c r="I48" s="1">
        <v>45259</v>
      </c>
      <c r="J48" s="86">
        <v>60063.392</v>
      </c>
      <c r="K48" s="88">
        <v>6.93</v>
      </c>
      <c r="L48" s="88">
        <v>6.8</v>
      </c>
      <c r="M48" s="1">
        <v>45280</v>
      </c>
      <c r="N48" s="1">
        <v>45301</v>
      </c>
      <c r="O48" s="86">
        <v>60063.392</v>
      </c>
      <c r="P48" t="s">
        <v>32</v>
      </c>
      <c r="Q48">
        <v>0</v>
      </c>
      <c r="R48">
        <v>1</v>
      </c>
      <c r="S48">
        <v>0</v>
      </c>
      <c r="T48" s="89">
        <v>42</v>
      </c>
      <c r="U48">
        <v>2023</v>
      </c>
      <c r="V48" s="90">
        <v>45231</v>
      </c>
      <c r="W48" s="87">
        <v>416239.30656</v>
      </c>
      <c r="X48" s="87">
        <v>408431.06559999997</v>
      </c>
      <c r="Y48" s="87">
        <v>7808.2409599999937</v>
      </c>
    </row>
    <row r="49" spans="1:25">
      <c r="A49" t="s">
        <v>173</v>
      </c>
      <c r="B49" t="s">
        <v>92</v>
      </c>
      <c r="C49" t="s">
        <v>93</v>
      </c>
      <c r="D49" t="s">
        <v>94</v>
      </c>
      <c r="E49" t="s">
        <v>56</v>
      </c>
      <c r="F49" t="s">
        <v>95</v>
      </c>
      <c r="G49" t="s">
        <v>96</v>
      </c>
      <c r="H49" s="1">
        <v>45257</v>
      </c>
      <c r="I49" s="1">
        <v>45259</v>
      </c>
      <c r="J49" s="86">
        <v>96.290999999999997</v>
      </c>
      <c r="K49" s="88">
        <v>3855.77</v>
      </c>
      <c r="L49" s="88">
        <v>3900</v>
      </c>
      <c r="M49" s="1">
        <v>45329</v>
      </c>
      <c r="N49" s="1">
        <v>45326</v>
      </c>
      <c r="O49" s="86">
        <v>75.364999999999995</v>
      </c>
      <c r="P49" t="s">
        <v>32</v>
      </c>
      <c r="Q49">
        <v>1</v>
      </c>
      <c r="R49">
        <v>0</v>
      </c>
      <c r="S49">
        <v>0</v>
      </c>
      <c r="T49" s="89">
        <v>67</v>
      </c>
      <c r="U49">
        <v>2023</v>
      </c>
      <c r="V49" s="90">
        <v>45231</v>
      </c>
      <c r="W49" s="87">
        <v>290590.10605</v>
      </c>
      <c r="X49" s="87">
        <v>293923.5</v>
      </c>
      <c r="Y49" s="87">
        <v>-3333.393950000001</v>
      </c>
    </row>
    <row r="50" spans="1:25">
      <c r="A50" t="s">
        <v>174</v>
      </c>
      <c r="B50" t="s">
        <v>111</v>
      </c>
      <c r="C50" t="s">
        <v>112</v>
      </c>
      <c r="D50" t="s">
        <v>113</v>
      </c>
      <c r="E50" t="s">
        <v>84</v>
      </c>
      <c r="F50" t="s">
        <v>114</v>
      </c>
      <c r="G50" t="s">
        <v>115</v>
      </c>
      <c r="H50" s="1">
        <v>45257</v>
      </c>
      <c r="I50" s="1">
        <v>45260</v>
      </c>
      <c r="J50" s="86">
        <v>22983867.686999999</v>
      </c>
      <c r="K50" s="88">
        <v>0.1084</v>
      </c>
      <c r="L50" s="88">
        <v>0.11</v>
      </c>
      <c r="M50" s="1">
        <v>45330</v>
      </c>
      <c r="N50" s="1">
        <v>45364</v>
      </c>
      <c r="O50" s="86">
        <v>22983867.686999999</v>
      </c>
      <c r="P50" t="s">
        <v>32</v>
      </c>
      <c r="Q50">
        <v>0</v>
      </c>
      <c r="R50">
        <v>1</v>
      </c>
      <c r="S50">
        <v>0</v>
      </c>
      <c r="T50" s="89">
        <v>104</v>
      </c>
      <c r="U50">
        <v>2023</v>
      </c>
      <c r="V50" s="90">
        <v>45231</v>
      </c>
      <c r="W50" s="87">
        <v>2491451.2572707999</v>
      </c>
      <c r="X50" s="87">
        <v>2528225.44557</v>
      </c>
      <c r="Y50" s="87">
        <v>-36774.188299200097</v>
      </c>
    </row>
    <row r="51" spans="1:25">
      <c r="A51" t="s">
        <v>175</v>
      </c>
      <c r="B51" t="s">
        <v>117</v>
      </c>
      <c r="C51" t="s">
        <v>118</v>
      </c>
      <c r="D51" t="s">
        <v>119</v>
      </c>
      <c r="E51" t="s">
        <v>120</v>
      </c>
      <c r="F51" t="s">
        <v>121</v>
      </c>
      <c r="G51" t="s">
        <v>122</v>
      </c>
      <c r="H51" s="1">
        <v>45258</v>
      </c>
      <c r="I51" s="1">
        <v>45262</v>
      </c>
      <c r="J51" s="86">
        <v>13730058.976</v>
      </c>
      <c r="K51" s="88">
        <v>4.0000000000000001E-3</v>
      </c>
      <c r="L51" s="88">
        <v>4.0000000000000001E-3</v>
      </c>
      <c r="M51" s="1">
        <v>45297</v>
      </c>
      <c r="N51" s="1">
        <v>45297</v>
      </c>
      <c r="O51" s="86">
        <v>13730058.976</v>
      </c>
      <c r="P51" t="s">
        <v>32</v>
      </c>
      <c r="Q51">
        <v>1</v>
      </c>
      <c r="R51">
        <v>1</v>
      </c>
      <c r="S51">
        <v>1</v>
      </c>
      <c r="T51" s="89">
        <v>35</v>
      </c>
      <c r="U51">
        <v>2023</v>
      </c>
      <c r="V51" s="90">
        <v>45261</v>
      </c>
      <c r="W51" s="87">
        <v>54920.235904000001</v>
      </c>
      <c r="X51" s="87">
        <v>54920.235904000001</v>
      </c>
      <c r="Y51" s="87">
        <v>0</v>
      </c>
    </row>
    <row r="52" spans="1:25">
      <c r="A52" t="s">
        <v>176</v>
      </c>
      <c r="B52" t="s">
        <v>124</v>
      </c>
      <c r="C52" t="s">
        <v>125</v>
      </c>
      <c r="D52" t="s">
        <v>119</v>
      </c>
      <c r="E52" t="s">
        <v>126</v>
      </c>
      <c r="F52" t="s">
        <v>121</v>
      </c>
      <c r="G52" t="s">
        <v>122</v>
      </c>
      <c r="H52" s="1">
        <v>45257</v>
      </c>
      <c r="I52" s="1">
        <v>45262</v>
      </c>
      <c r="J52" s="86">
        <v>8022060.7589999996</v>
      </c>
      <c r="K52" s="88">
        <v>1.95E-2</v>
      </c>
      <c r="L52" s="88">
        <v>0.02</v>
      </c>
      <c r="M52" s="1">
        <v>45297</v>
      </c>
      <c r="N52" s="1">
        <v>45297</v>
      </c>
      <c r="O52" s="86">
        <v>8022060.7589999996</v>
      </c>
      <c r="P52" t="s">
        <v>32</v>
      </c>
      <c r="Q52">
        <v>1</v>
      </c>
      <c r="R52">
        <v>1</v>
      </c>
      <c r="S52">
        <v>1</v>
      </c>
      <c r="T52" s="89">
        <v>35</v>
      </c>
      <c r="U52">
        <v>2023</v>
      </c>
      <c r="V52" s="90">
        <v>45261</v>
      </c>
      <c r="W52" s="87">
        <v>156430.18480049999</v>
      </c>
      <c r="X52" s="87">
        <v>160441.21518</v>
      </c>
      <c r="Y52" s="87">
        <v>-4011.0303795000032</v>
      </c>
    </row>
    <row r="53" spans="1:25">
      <c r="A53" t="s">
        <v>177</v>
      </c>
      <c r="B53" t="s">
        <v>140</v>
      </c>
      <c r="C53" t="s">
        <v>141</v>
      </c>
      <c r="D53" t="s">
        <v>142</v>
      </c>
      <c r="E53" t="s">
        <v>84</v>
      </c>
      <c r="F53" t="s">
        <v>143</v>
      </c>
      <c r="G53" t="s">
        <v>144</v>
      </c>
      <c r="H53" s="1">
        <v>45259</v>
      </c>
      <c r="I53" s="1">
        <v>45261</v>
      </c>
      <c r="J53" s="86">
        <v>27207999.684</v>
      </c>
      <c r="K53" s="88">
        <v>1.2E-2</v>
      </c>
      <c r="L53" s="88">
        <v>1.2E-2</v>
      </c>
      <c r="M53" s="1">
        <v>45275</v>
      </c>
      <c r="N53" s="1">
        <v>45273</v>
      </c>
      <c r="O53" s="86">
        <v>27207999.684</v>
      </c>
      <c r="P53" t="s">
        <v>32</v>
      </c>
      <c r="Q53">
        <v>1</v>
      </c>
      <c r="R53">
        <v>1</v>
      </c>
      <c r="S53">
        <v>1</v>
      </c>
      <c r="T53" s="89">
        <v>12</v>
      </c>
      <c r="U53">
        <v>2023</v>
      </c>
      <c r="V53" s="90">
        <v>45261</v>
      </c>
      <c r="W53" s="87">
        <v>326495.996208</v>
      </c>
      <c r="X53" s="87">
        <v>326495.996208</v>
      </c>
      <c r="Y53" s="87">
        <v>0</v>
      </c>
    </row>
    <row r="54" spans="1:25">
      <c r="A54" t="s">
        <v>178</v>
      </c>
      <c r="B54" t="s">
        <v>26</v>
      </c>
      <c r="C54" t="s">
        <v>27</v>
      </c>
      <c r="D54" t="s">
        <v>28</v>
      </c>
      <c r="E54" t="s">
        <v>29</v>
      </c>
      <c r="F54" t="s">
        <v>30</v>
      </c>
      <c r="G54" t="s">
        <v>31</v>
      </c>
      <c r="H54" s="1">
        <v>45265</v>
      </c>
      <c r="I54" s="1">
        <v>45271</v>
      </c>
      <c r="J54" s="86">
        <v>28777.703000000001</v>
      </c>
      <c r="K54" s="88">
        <v>115.75</v>
      </c>
      <c r="L54" s="88">
        <v>118</v>
      </c>
      <c r="M54" s="1">
        <v>45313</v>
      </c>
      <c r="N54" s="1">
        <v>45311</v>
      </c>
      <c r="O54" s="86">
        <v>28777.703000000001</v>
      </c>
      <c r="P54" t="s">
        <v>32</v>
      </c>
      <c r="Q54">
        <v>1</v>
      </c>
      <c r="R54">
        <v>1</v>
      </c>
      <c r="S54">
        <v>1</v>
      </c>
      <c r="T54" s="89">
        <v>40</v>
      </c>
      <c r="U54">
        <v>2023</v>
      </c>
      <c r="V54" s="90">
        <v>45261</v>
      </c>
      <c r="W54" s="87">
        <v>3331019.12225</v>
      </c>
      <c r="X54" s="87">
        <v>3395768.9540000004</v>
      </c>
      <c r="Y54" s="87">
        <v>-64749.831750000005</v>
      </c>
    </row>
    <row r="55" spans="1:25">
      <c r="A55" t="s">
        <v>179</v>
      </c>
      <c r="B55" t="s">
        <v>41</v>
      </c>
      <c r="C55" t="s">
        <v>42</v>
      </c>
      <c r="D55" t="s">
        <v>43</v>
      </c>
      <c r="E55" t="s">
        <v>37</v>
      </c>
      <c r="F55" t="s">
        <v>44</v>
      </c>
      <c r="G55" t="s">
        <v>45</v>
      </c>
      <c r="H55" s="1">
        <v>45265</v>
      </c>
      <c r="I55" s="1">
        <v>45268</v>
      </c>
      <c r="J55" s="86">
        <v>51758.173000000003</v>
      </c>
      <c r="K55" s="88">
        <v>9.34</v>
      </c>
      <c r="L55" s="88">
        <v>9.5</v>
      </c>
      <c r="M55" s="1">
        <v>45289</v>
      </c>
      <c r="N55" s="1">
        <v>45298</v>
      </c>
      <c r="O55" s="86">
        <v>39545.379000000001</v>
      </c>
      <c r="P55" t="s">
        <v>32</v>
      </c>
      <c r="Q55">
        <v>0</v>
      </c>
      <c r="R55">
        <v>0</v>
      </c>
      <c r="S55">
        <v>0</v>
      </c>
      <c r="T55" s="89">
        <v>30</v>
      </c>
      <c r="U55">
        <v>2023</v>
      </c>
      <c r="V55" s="90">
        <v>45261</v>
      </c>
      <c r="W55" s="87">
        <v>369353.83986000001</v>
      </c>
      <c r="X55" s="87">
        <v>375681.1005</v>
      </c>
      <c r="Y55" s="87">
        <v>-6327.2606400000059</v>
      </c>
    </row>
    <row r="56" spans="1:25">
      <c r="A56" t="s">
        <v>180</v>
      </c>
      <c r="B56" t="s">
        <v>54</v>
      </c>
      <c r="C56" t="s">
        <v>55</v>
      </c>
      <c r="D56" t="s">
        <v>49</v>
      </c>
      <c r="E56" t="s">
        <v>56</v>
      </c>
      <c r="F56" t="s">
        <v>57</v>
      </c>
      <c r="G56" t="s">
        <v>58</v>
      </c>
      <c r="H56" s="1">
        <v>45265</v>
      </c>
      <c r="I56" s="1">
        <v>45268</v>
      </c>
      <c r="J56" s="86">
        <v>25910.181</v>
      </c>
      <c r="K56" s="88">
        <v>28.34</v>
      </c>
      <c r="L56" s="88">
        <v>28</v>
      </c>
      <c r="M56" s="1">
        <v>45310</v>
      </c>
      <c r="N56" s="1">
        <v>45309</v>
      </c>
      <c r="O56" s="86">
        <v>25910.181</v>
      </c>
      <c r="P56" t="s">
        <v>32</v>
      </c>
      <c r="Q56">
        <v>1</v>
      </c>
      <c r="R56">
        <v>1</v>
      </c>
      <c r="S56">
        <v>1</v>
      </c>
      <c r="T56" s="89">
        <v>41</v>
      </c>
      <c r="U56">
        <v>2023</v>
      </c>
      <c r="V56" s="90">
        <v>45261</v>
      </c>
      <c r="W56" s="87">
        <v>734294.52954000002</v>
      </c>
      <c r="X56" s="87">
        <v>725485.06799999997</v>
      </c>
      <c r="Y56" s="87">
        <v>8809.4615399999966</v>
      </c>
    </row>
    <row r="57" spans="1:25">
      <c r="A57" t="s">
        <v>181</v>
      </c>
      <c r="B57" t="s">
        <v>60</v>
      </c>
      <c r="C57" t="s">
        <v>61</v>
      </c>
      <c r="D57" t="s">
        <v>49</v>
      </c>
      <c r="E57" t="s">
        <v>56</v>
      </c>
      <c r="F57" t="s">
        <v>57</v>
      </c>
      <c r="G57" t="s">
        <v>58</v>
      </c>
      <c r="H57" s="1">
        <v>45265</v>
      </c>
      <c r="I57" s="1">
        <v>45269</v>
      </c>
      <c r="J57" s="86">
        <v>2304.2539999999999</v>
      </c>
      <c r="K57" s="88">
        <v>407.15</v>
      </c>
      <c r="L57" s="88">
        <v>410</v>
      </c>
      <c r="M57" s="1">
        <v>45311</v>
      </c>
      <c r="N57" s="1">
        <v>45309</v>
      </c>
      <c r="O57" s="86">
        <v>2304.2539999999999</v>
      </c>
      <c r="P57" t="s">
        <v>32</v>
      </c>
      <c r="Q57">
        <v>1</v>
      </c>
      <c r="R57">
        <v>1</v>
      </c>
      <c r="S57">
        <v>1</v>
      </c>
      <c r="T57" s="89">
        <v>40</v>
      </c>
      <c r="U57">
        <v>2023</v>
      </c>
      <c r="V57" s="90">
        <v>45261</v>
      </c>
      <c r="W57" s="87">
        <v>938177.01609999989</v>
      </c>
      <c r="X57" s="87">
        <v>944744.14</v>
      </c>
      <c r="Y57" s="87">
        <v>-6567.1239000000523</v>
      </c>
    </row>
    <row r="58" spans="1:25">
      <c r="A58" t="s">
        <v>182</v>
      </c>
      <c r="B58" t="s">
        <v>63</v>
      </c>
      <c r="C58" t="s">
        <v>64</v>
      </c>
      <c r="D58" t="s">
        <v>49</v>
      </c>
      <c r="E58" t="s">
        <v>56</v>
      </c>
      <c r="F58" t="s">
        <v>65</v>
      </c>
      <c r="G58" t="s">
        <v>66</v>
      </c>
      <c r="H58" s="1">
        <v>45266</v>
      </c>
      <c r="I58" s="1">
        <v>45268</v>
      </c>
      <c r="J58" s="86">
        <v>3451.1610000000001</v>
      </c>
      <c r="K58" s="88">
        <v>157.96</v>
      </c>
      <c r="L58" s="88">
        <v>160</v>
      </c>
      <c r="M58" s="1">
        <v>45296</v>
      </c>
      <c r="N58" s="1">
        <v>45296</v>
      </c>
      <c r="O58" s="86">
        <v>3451.1610000000001</v>
      </c>
      <c r="P58" t="s">
        <v>32</v>
      </c>
      <c r="Q58">
        <v>1</v>
      </c>
      <c r="R58">
        <v>1</v>
      </c>
      <c r="S58">
        <v>1</v>
      </c>
      <c r="T58" s="89">
        <v>28</v>
      </c>
      <c r="U58">
        <v>2023</v>
      </c>
      <c r="V58" s="90">
        <v>45261</v>
      </c>
      <c r="W58" s="87">
        <v>545145.39156000002</v>
      </c>
      <c r="X58" s="87">
        <v>552185.76</v>
      </c>
      <c r="Y58" s="87">
        <v>-7040.3684399999729</v>
      </c>
    </row>
    <row r="59" spans="1:25">
      <c r="A59" t="s">
        <v>183</v>
      </c>
      <c r="B59" t="s">
        <v>68</v>
      </c>
      <c r="C59" t="s">
        <v>69</v>
      </c>
      <c r="D59" t="s">
        <v>43</v>
      </c>
      <c r="E59" t="s">
        <v>37</v>
      </c>
      <c r="F59" t="s">
        <v>44</v>
      </c>
      <c r="G59" t="s">
        <v>45</v>
      </c>
      <c r="H59" s="1">
        <v>45265</v>
      </c>
      <c r="I59" s="1">
        <v>45266</v>
      </c>
      <c r="J59" s="86">
        <v>172506.359</v>
      </c>
      <c r="K59" s="88">
        <v>4.2</v>
      </c>
      <c r="L59" s="88">
        <v>4.2</v>
      </c>
      <c r="M59" s="1">
        <v>45287</v>
      </c>
      <c r="N59" s="1">
        <v>45285</v>
      </c>
      <c r="O59" s="86">
        <v>172506.359</v>
      </c>
      <c r="P59" t="s">
        <v>32</v>
      </c>
      <c r="Q59">
        <v>1</v>
      </c>
      <c r="R59">
        <v>1</v>
      </c>
      <c r="S59">
        <v>1</v>
      </c>
      <c r="T59" s="89">
        <v>19</v>
      </c>
      <c r="U59">
        <v>2023</v>
      </c>
      <c r="V59" s="90">
        <v>45261</v>
      </c>
      <c r="W59" s="87">
        <v>724526.70779999997</v>
      </c>
      <c r="X59" s="87">
        <v>724526.70779999997</v>
      </c>
      <c r="Y59" s="87">
        <v>0</v>
      </c>
    </row>
    <row r="60" spans="1:25">
      <c r="A60" t="s">
        <v>184</v>
      </c>
      <c r="B60" t="s">
        <v>76</v>
      </c>
      <c r="C60" t="s">
        <v>77</v>
      </c>
      <c r="D60" t="s">
        <v>78</v>
      </c>
      <c r="E60" t="s">
        <v>37</v>
      </c>
      <c r="F60" t="s">
        <v>79</v>
      </c>
      <c r="G60" t="s">
        <v>80</v>
      </c>
      <c r="H60" s="1">
        <v>45266</v>
      </c>
      <c r="I60" s="1">
        <v>45267</v>
      </c>
      <c r="J60" s="86">
        <v>17264.996999999999</v>
      </c>
      <c r="K60" s="88">
        <v>38.79</v>
      </c>
      <c r="L60" s="88">
        <v>38</v>
      </c>
      <c r="M60" s="1">
        <v>45302</v>
      </c>
      <c r="N60" s="1">
        <v>45302</v>
      </c>
      <c r="O60" s="86">
        <v>17264.996999999999</v>
      </c>
      <c r="P60" t="s">
        <v>32</v>
      </c>
      <c r="Q60">
        <v>1</v>
      </c>
      <c r="R60">
        <v>1</v>
      </c>
      <c r="S60">
        <v>1</v>
      </c>
      <c r="T60" s="89">
        <v>35</v>
      </c>
      <c r="U60">
        <v>2023</v>
      </c>
      <c r="V60" s="90">
        <v>45261</v>
      </c>
      <c r="W60" s="87">
        <v>669709.23362999992</v>
      </c>
      <c r="X60" s="87">
        <v>656069.88599999994</v>
      </c>
      <c r="Y60" s="87">
        <v>13639.347629999986</v>
      </c>
    </row>
    <row r="61" spans="1:25">
      <c r="A61" t="s">
        <v>185</v>
      </c>
      <c r="B61" t="s">
        <v>82</v>
      </c>
      <c r="C61" t="s">
        <v>83</v>
      </c>
      <c r="D61" t="s">
        <v>78</v>
      </c>
      <c r="E61" t="s">
        <v>84</v>
      </c>
      <c r="F61" t="s">
        <v>79</v>
      </c>
      <c r="G61" t="s">
        <v>80</v>
      </c>
      <c r="H61" s="1">
        <v>45266</v>
      </c>
      <c r="I61" s="1">
        <v>45270</v>
      </c>
      <c r="J61" s="86">
        <v>345.20800000000003</v>
      </c>
      <c r="K61" s="88">
        <v>518.23</v>
      </c>
      <c r="L61" s="88">
        <v>520</v>
      </c>
      <c r="M61" s="1">
        <v>45305</v>
      </c>
      <c r="N61" s="1">
        <v>45305</v>
      </c>
      <c r="O61" s="86">
        <v>345.20800000000003</v>
      </c>
      <c r="P61" t="s">
        <v>32</v>
      </c>
      <c r="Q61">
        <v>1</v>
      </c>
      <c r="R61">
        <v>1</v>
      </c>
      <c r="S61">
        <v>1</v>
      </c>
      <c r="T61" s="89">
        <v>35</v>
      </c>
      <c r="U61">
        <v>2023</v>
      </c>
      <c r="V61" s="90">
        <v>45261</v>
      </c>
      <c r="W61" s="87">
        <v>178897.14184000003</v>
      </c>
      <c r="X61" s="87">
        <v>179508.16</v>
      </c>
      <c r="Y61" s="87">
        <v>-611.01815999999371</v>
      </c>
    </row>
    <row r="62" spans="1:25">
      <c r="A62" t="s">
        <v>186</v>
      </c>
      <c r="B62" t="s">
        <v>86</v>
      </c>
      <c r="C62" t="s">
        <v>87</v>
      </c>
      <c r="D62" t="s">
        <v>88</v>
      </c>
      <c r="E62" t="s">
        <v>84</v>
      </c>
      <c r="F62" t="s">
        <v>89</v>
      </c>
      <c r="G62" t="s">
        <v>90</v>
      </c>
      <c r="H62" s="1">
        <v>45264</v>
      </c>
      <c r="I62" s="1">
        <v>45267</v>
      </c>
      <c r="J62" s="86">
        <v>17.25</v>
      </c>
      <c r="K62" s="88">
        <v>9557.48</v>
      </c>
      <c r="L62" s="88">
        <v>9500</v>
      </c>
      <c r="M62" s="1">
        <v>45330</v>
      </c>
      <c r="N62" s="1">
        <v>45330</v>
      </c>
      <c r="O62" s="86">
        <v>17.25</v>
      </c>
      <c r="P62" t="s">
        <v>32</v>
      </c>
      <c r="Q62">
        <v>1</v>
      </c>
      <c r="R62">
        <v>1</v>
      </c>
      <c r="S62">
        <v>1</v>
      </c>
      <c r="T62" s="89">
        <v>63</v>
      </c>
      <c r="U62">
        <v>2023</v>
      </c>
      <c r="V62" s="90">
        <v>45261</v>
      </c>
      <c r="W62" s="87">
        <v>164866.53</v>
      </c>
      <c r="X62" s="87">
        <v>163875</v>
      </c>
      <c r="Y62" s="87">
        <v>991.52999999999247</v>
      </c>
    </row>
    <row r="63" spans="1:25">
      <c r="A63" t="s">
        <v>187</v>
      </c>
      <c r="B63" t="s">
        <v>98</v>
      </c>
      <c r="C63" t="s">
        <v>99</v>
      </c>
      <c r="D63" t="s">
        <v>100</v>
      </c>
      <c r="E63" t="s">
        <v>101</v>
      </c>
      <c r="F63" t="s">
        <v>102</v>
      </c>
      <c r="G63" t="s">
        <v>103</v>
      </c>
      <c r="H63" s="1">
        <v>45265</v>
      </c>
      <c r="I63" s="1">
        <v>45268</v>
      </c>
      <c r="J63" s="86">
        <v>23</v>
      </c>
      <c r="K63" s="88">
        <v>6193.59</v>
      </c>
      <c r="L63" s="88">
        <v>6200</v>
      </c>
      <c r="M63" s="1">
        <v>45317</v>
      </c>
      <c r="N63" s="1">
        <v>45316</v>
      </c>
      <c r="O63" s="86">
        <v>23</v>
      </c>
      <c r="P63" t="s">
        <v>32</v>
      </c>
      <c r="Q63">
        <v>1</v>
      </c>
      <c r="R63">
        <v>1</v>
      </c>
      <c r="S63">
        <v>1</v>
      </c>
      <c r="T63" s="89">
        <v>48</v>
      </c>
      <c r="U63">
        <v>2023</v>
      </c>
      <c r="V63" s="90">
        <v>45261</v>
      </c>
      <c r="W63" s="87">
        <v>142452.57</v>
      </c>
      <c r="X63" s="87">
        <v>142600</v>
      </c>
      <c r="Y63" s="87">
        <v>-147.42999999999665</v>
      </c>
    </row>
    <row r="64" spans="1:25">
      <c r="A64" t="s">
        <v>188</v>
      </c>
      <c r="B64" t="s">
        <v>41</v>
      </c>
      <c r="C64" t="s">
        <v>42</v>
      </c>
      <c r="D64" t="s">
        <v>43</v>
      </c>
      <c r="E64" t="s">
        <v>37</v>
      </c>
      <c r="F64" t="s">
        <v>44</v>
      </c>
      <c r="G64" t="s">
        <v>45</v>
      </c>
      <c r="H64" s="1">
        <v>45293</v>
      </c>
      <c r="I64" s="1">
        <v>45296</v>
      </c>
      <c r="J64" s="86">
        <v>46729.864999999998</v>
      </c>
      <c r="K64" s="88">
        <v>9.4</v>
      </c>
      <c r="L64" s="88">
        <v>9.5</v>
      </c>
      <c r="M64" s="1">
        <v>45317</v>
      </c>
      <c r="N64" s="1">
        <v>45314</v>
      </c>
      <c r="O64" s="86">
        <v>46729.864999999998</v>
      </c>
      <c r="P64" t="s">
        <v>32</v>
      </c>
      <c r="Q64">
        <v>1</v>
      </c>
      <c r="R64">
        <v>1</v>
      </c>
      <c r="S64">
        <v>1</v>
      </c>
      <c r="T64" s="89">
        <v>18</v>
      </c>
      <c r="U64">
        <v>2024</v>
      </c>
      <c r="V64" s="90">
        <v>45292</v>
      </c>
      <c r="W64" s="87">
        <v>439260.73099999997</v>
      </c>
      <c r="X64" s="87">
        <v>443933.71749999997</v>
      </c>
      <c r="Y64" s="87">
        <v>-4672.9864999999836</v>
      </c>
    </row>
    <row r="65" spans="1:25">
      <c r="A65" t="s">
        <v>189</v>
      </c>
      <c r="B65" t="s">
        <v>47</v>
      </c>
      <c r="C65" t="s">
        <v>48</v>
      </c>
      <c r="D65" t="s">
        <v>49</v>
      </c>
      <c r="E65" t="s">
        <v>50</v>
      </c>
      <c r="F65" t="s">
        <v>51</v>
      </c>
      <c r="G65" t="s">
        <v>52</v>
      </c>
      <c r="H65" s="1">
        <v>45293</v>
      </c>
      <c r="I65" s="1">
        <v>45295</v>
      </c>
      <c r="J65" s="86">
        <v>144.12299999999999</v>
      </c>
      <c r="K65" s="88">
        <v>1839.48</v>
      </c>
      <c r="L65" s="88">
        <v>1850</v>
      </c>
      <c r="M65" s="1">
        <v>45351</v>
      </c>
      <c r="N65" s="1">
        <v>45354</v>
      </c>
      <c r="O65" s="86">
        <v>144.12299999999999</v>
      </c>
      <c r="P65" t="s">
        <v>32</v>
      </c>
      <c r="Q65">
        <v>0</v>
      </c>
      <c r="R65">
        <v>1</v>
      </c>
      <c r="S65">
        <v>0</v>
      </c>
      <c r="T65" s="89">
        <v>59</v>
      </c>
      <c r="U65">
        <v>2024</v>
      </c>
      <c r="V65" s="90">
        <v>45292</v>
      </c>
      <c r="W65" s="87">
        <v>265111.37604</v>
      </c>
      <c r="X65" s="87">
        <v>266627.55</v>
      </c>
      <c r="Y65" s="87">
        <v>-1516.1739599999974</v>
      </c>
    </row>
    <row r="66" spans="1:25">
      <c r="A66" t="s">
        <v>190</v>
      </c>
      <c r="B66" t="s">
        <v>111</v>
      </c>
      <c r="C66" t="s">
        <v>112</v>
      </c>
      <c r="D66" t="s">
        <v>113</v>
      </c>
      <c r="E66" t="s">
        <v>84</v>
      </c>
      <c r="F66" t="s">
        <v>114</v>
      </c>
      <c r="G66" t="s">
        <v>115</v>
      </c>
      <c r="H66" s="1">
        <v>45294</v>
      </c>
      <c r="I66" s="1">
        <v>45299</v>
      </c>
      <c r="J66" s="86">
        <v>22809894.629000001</v>
      </c>
      <c r="K66" s="88">
        <v>0.1084</v>
      </c>
      <c r="L66" s="88">
        <v>0.11</v>
      </c>
      <c r="M66" s="1">
        <v>45369</v>
      </c>
      <c r="N66" s="1">
        <v>45368</v>
      </c>
      <c r="O66" s="86">
        <v>22809894.629000001</v>
      </c>
      <c r="P66" t="s">
        <v>32</v>
      </c>
      <c r="Q66">
        <v>1</v>
      </c>
      <c r="R66">
        <v>1</v>
      </c>
      <c r="S66">
        <v>1</v>
      </c>
      <c r="T66" s="89">
        <v>69</v>
      </c>
      <c r="U66">
        <v>2024</v>
      </c>
      <c r="V66" s="90">
        <v>45292</v>
      </c>
      <c r="W66" s="87">
        <v>2472592.5777836</v>
      </c>
      <c r="X66" s="87">
        <v>2509088.40919</v>
      </c>
      <c r="Y66" s="87">
        <v>-36495.831406400095</v>
      </c>
    </row>
    <row r="67" spans="1:25">
      <c r="A67" t="s">
        <v>191</v>
      </c>
      <c r="B67" t="s">
        <v>117</v>
      </c>
      <c r="C67" t="s">
        <v>118</v>
      </c>
      <c r="D67" t="s">
        <v>119</v>
      </c>
      <c r="E67" t="s">
        <v>120</v>
      </c>
      <c r="F67" t="s">
        <v>121</v>
      </c>
      <c r="G67" t="s">
        <v>122</v>
      </c>
      <c r="H67" s="1">
        <v>45292</v>
      </c>
      <c r="I67" s="1">
        <v>45294</v>
      </c>
      <c r="J67" s="86">
        <v>13693954.775</v>
      </c>
      <c r="K67" s="88">
        <v>3.8999999999999998E-3</v>
      </c>
      <c r="L67" s="88">
        <v>4.0000000000000001E-3</v>
      </c>
      <c r="M67" s="1">
        <v>45329</v>
      </c>
      <c r="N67" s="1">
        <v>45329</v>
      </c>
      <c r="O67" s="86">
        <v>13693954.775</v>
      </c>
      <c r="P67" t="s">
        <v>32</v>
      </c>
      <c r="Q67">
        <v>1</v>
      </c>
      <c r="R67">
        <v>1</v>
      </c>
      <c r="S67">
        <v>1</v>
      </c>
      <c r="T67" s="89">
        <v>35</v>
      </c>
      <c r="U67">
        <v>2024</v>
      </c>
      <c r="V67" s="90">
        <v>45292</v>
      </c>
      <c r="W67" s="87">
        <v>53406.423622499999</v>
      </c>
      <c r="X67" s="87">
        <v>54775.819100000001</v>
      </c>
      <c r="Y67" s="87">
        <v>-1369.3954775000036</v>
      </c>
    </row>
    <row r="68" spans="1:25">
      <c r="A68" t="s">
        <v>192</v>
      </c>
      <c r="B68" t="s">
        <v>124</v>
      </c>
      <c r="C68" t="s">
        <v>125</v>
      </c>
      <c r="D68" t="s">
        <v>119</v>
      </c>
      <c r="E68" t="s">
        <v>126</v>
      </c>
      <c r="F68" t="s">
        <v>121</v>
      </c>
      <c r="G68" t="s">
        <v>122</v>
      </c>
      <c r="H68" s="1">
        <v>45294</v>
      </c>
      <c r="I68" s="1">
        <v>45300</v>
      </c>
      <c r="J68" s="86">
        <v>7991377.2300000004</v>
      </c>
      <c r="K68" s="88">
        <v>1.9900000000000001E-2</v>
      </c>
      <c r="L68" s="88">
        <v>0.02</v>
      </c>
      <c r="M68" s="1">
        <v>45335</v>
      </c>
      <c r="N68" s="1">
        <v>45335</v>
      </c>
      <c r="O68" s="86">
        <v>7991377.2300000004</v>
      </c>
      <c r="P68" t="s">
        <v>32</v>
      </c>
      <c r="Q68">
        <v>1</v>
      </c>
      <c r="R68">
        <v>1</v>
      </c>
      <c r="S68">
        <v>1</v>
      </c>
      <c r="T68" s="89">
        <v>35</v>
      </c>
      <c r="U68">
        <v>2024</v>
      </c>
      <c r="V68" s="90">
        <v>45292</v>
      </c>
      <c r="W68" s="87">
        <v>159028.40687700003</v>
      </c>
      <c r="X68" s="87">
        <v>159827.54460000002</v>
      </c>
      <c r="Y68" s="87">
        <v>-799.13772299999516</v>
      </c>
    </row>
    <row r="69" spans="1:25">
      <c r="A69" t="s">
        <v>193</v>
      </c>
      <c r="B69" t="s">
        <v>128</v>
      </c>
      <c r="C69" t="s">
        <v>129</v>
      </c>
      <c r="D69" t="s">
        <v>130</v>
      </c>
      <c r="E69" t="s">
        <v>84</v>
      </c>
      <c r="F69" t="s">
        <v>131</v>
      </c>
      <c r="G69" t="s">
        <v>132</v>
      </c>
      <c r="H69" s="1">
        <v>45294</v>
      </c>
      <c r="I69" s="1">
        <v>45296</v>
      </c>
      <c r="J69" s="86">
        <v>2</v>
      </c>
      <c r="K69" s="88">
        <v>63554.02</v>
      </c>
      <c r="L69" s="88">
        <v>65000</v>
      </c>
      <c r="M69" s="1">
        <v>45366</v>
      </c>
      <c r="N69" s="1">
        <v>45365</v>
      </c>
      <c r="O69" s="86">
        <v>2</v>
      </c>
      <c r="P69" t="s">
        <v>32</v>
      </c>
      <c r="Q69">
        <v>1</v>
      </c>
      <c r="R69">
        <v>1</v>
      </c>
      <c r="S69">
        <v>1</v>
      </c>
      <c r="T69" s="89">
        <v>69</v>
      </c>
      <c r="U69">
        <v>2024</v>
      </c>
      <c r="V69" s="90">
        <v>45292</v>
      </c>
      <c r="W69" s="87">
        <v>127108.04</v>
      </c>
      <c r="X69" s="87">
        <v>130000</v>
      </c>
      <c r="Y69" s="87">
        <v>-2891.9600000000064</v>
      </c>
    </row>
    <row r="70" spans="1:25">
      <c r="A70" t="s">
        <v>194</v>
      </c>
      <c r="B70" t="s">
        <v>134</v>
      </c>
      <c r="C70" t="s">
        <v>135</v>
      </c>
      <c r="D70" t="s">
        <v>136</v>
      </c>
      <c r="E70" t="s">
        <v>101</v>
      </c>
      <c r="F70" t="s">
        <v>137</v>
      </c>
      <c r="G70" t="s">
        <v>138</v>
      </c>
      <c r="H70" s="1">
        <v>45293</v>
      </c>
      <c r="I70" s="1">
        <v>45296</v>
      </c>
      <c r="J70" s="86">
        <v>75713.081999999995</v>
      </c>
      <c r="K70" s="88">
        <v>6.31</v>
      </c>
      <c r="L70" s="88">
        <v>6.5</v>
      </c>
      <c r="M70" s="1">
        <v>45352</v>
      </c>
      <c r="N70" s="1">
        <v>45350</v>
      </c>
      <c r="O70" s="86">
        <v>75713.081999999995</v>
      </c>
      <c r="P70" t="s">
        <v>32</v>
      </c>
      <c r="Q70">
        <v>1</v>
      </c>
      <c r="R70">
        <v>1</v>
      </c>
      <c r="S70">
        <v>1</v>
      </c>
      <c r="T70" s="89">
        <v>54</v>
      </c>
      <c r="U70">
        <v>2024</v>
      </c>
      <c r="V70" s="90">
        <v>45292</v>
      </c>
      <c r="W70" s="87">
        <v>477749.54741999996</v>
      </c>
      <c r="X70" s="87">
        <v>492135.03299999994</v>
      </c>
      <c r="Y70" s="87">
        <v>-14385.485580000028</v>
      </c>
    </row>
    <row r="71" spans="1:25">
      <c r="A71" t="s">
        <v>195</v>
      </c>
      <c r="B71" t="s">
        <v>140</v>
      </c>
      <c r="C71" t="s">
        <v>141</v>
      </c>
      <c r="D71" t="s">
        <v>142</v>
      </c>
      <c r="E71" t="s">
        <v>84</v>
      </c>
      <c r="F71" t="s">
        <v>143</v>
      </c>
      <c r="G71" t="s">
        <v>144</v>
      </c>
      <c r="H71" s="1">
        <v>45294</v>
      </c>
      <c r="I71" s="1">
        <v>45296</v>
      </c>
      <c r="J71" s="86">
        <v>22890591.607999999</v>
      </c>
      <c r="K71" s="88">
        <v>1.1900000000000001E-2</v>
      </c>
      <c r="L71" s="88">
        <v>1.2E-2</v>
      </c>
      <c r="M71" s="1">
        <v>45310</v>
      </c>
      <c r="N71" s="1">
        <v>45309</v>
      </c>
      <c r="O71" s="86">
        <v>22890591.607999999</v>
      </c>
      <c r="P71" t="s">
        <v>32</v>
      </c>
      <c r="Q71">
        <v>1</v>
      </c>
      <c r="R71">
        <v>1</v>
      </c>
      <c r="S71">
        <v>1</v>
      </c>
      <c r="T71" s="89">
        <v>13</v>
      </c>
      <c r="U71">
        <v>2024</v>
      </c>
      <c r="V71" s="90">
        <v>45292</v>
      </c>
      <c r="W71" s="87">
        <v>272398.04013520002</v>
      </c>
      <c r="X71" s="87">
        <v>274687.09929599997</v>
      </c>
      <c r="Y71" s="87">
        <v>-2289.0591607999859</v>
      </c>
    </row>
    <row r="72" spans="1:25">
      <c r="A72" t="s">
        <v>196</v>
      </c>
      <c r="B72" t="s">
        <v>34</v>
      </c>
      <c r="C72" t="s">
        <v>35</v>
      </c>
      <c r="D72" t="s">
        <v>36</v>
      </c>
      <c r="E72" t="s">
        <v>37</v>
      </c>
      <c r="F72" t="s">
        <v>38</v>
      </c>
      <c r="G72" t="s">
        <v>39</v>
      </c>
      <c r="H72" s="1">
        <v>45301</v>
      </c>
      <c r="I72" s="1">
        <v>45304</v>
      </c>
      <c r="J72" s="86">
        <v>1007.261</v>
      </c>
      <c r="K72" s="88">
        <v>2423.88</v>
      </c>
      <c r="L72" s="88">
        <v>2400</v>
      </c>
      <c r="M72" s="1">
        <v>45374</v>
      </c>
      <c r="N72" s="1">
        <v>45372</v>
      </c>
      <c r="O72" s="86">
        <v>1007.261</v>
      </c>
      <c r="P72" t="s">
        <v>32</v>
      </c>
      <c r="Q72">
        <v>1</v>
      </c>
      <c r="R72">
        <v>1</v>
      </c>
      <c r="S72">
        <v>1</v>
      </c>
      <c r="T72" s="89">
        <v>68</v>
      </c>
      <c r="U72">
        <v>2024</v>
      </c>
      <c r="V72" s="90">
        <v>45292</v>
      </c>
      <c r="W72" s="87">
        <v>2441479.79268</v>
      </c>
      <c r="X72" s="87">
        <v>2417426.4</v>
      </c>
      <c r="Y72" s="87">
        <v>24053.39268000011</v>
      </c>
    </row>
    <row r="73" spans="1:25">
      <c r="A73" t="s">
        <v>197</v>
      </c>
      <c r="B73" t="s">
        <v>73</v>
      </c>
      <c r="C73" t="s">
        <v>74</v>
      </c>
      <c r="D73" t="s">
        <v>43</v>
      </c>
      <c r="E73" t="s">
        <v>37</v>
      </c>
      <c r="F73" t="s">
        <v>70</v>
      </c>
      <c r="G73" t="s">
        <v>71</v>
      </c>
      <c r="H73" s="1">
        <v>45299</v>
      </c>
      <c r="I73" s="1">
        <v>45301</v>
      </c>
      <c r="J73" s="86">
        <v>71914.823000000004</v>
      </c>
      <c r="K73" s="88">
        <v>6.62</v>
      </c>
      <c r="L73" s="88">
        <v>6.8</v>
      </c>
      <c r="M73" s="1">
        <v>45322</v>
      </c>
      <c r="N73" s="1">
        <v>45321</v>
      </c>
      <c r="O73" s="86">
        <v>71914.823000000004</v>
      </c>
      <c r="P73" t="s">
        <v>32</v>
      </c>
      <c r="Q73">
        <v>1</v>
      </c>
      <c r="R73">
        <v>1</v>
      </c>
      <c r="S73">
        <v>1</v>
      </c>
      <c r="T73" s="89">
        <v>20</v>
      </c>
      <c r="U73">
        <v>2024</v>
      </c>
      <c r="V73" s="90">
        <v>45292</v>
      </c>
      <c r="W73" s="87">
        <v>476076.12826000003</v>
      </c>
      <c r="X73" s="87">
        <v>489020.79639999999</v>
      </c>
      <c r="Y73" s="87">
        <v>-12944.66813999998</v>
      </c>
    </row>
    <row r="74" spans="1:25">
      <c r="A74" t="s">
        <v>198</v>
      </c>
      <c r="B74" t="s">
        <v>82</v>
      </c>
      <c r="C74" t="s">
        <v>83</v>
      </c>
      <c r="D74" t="s">
        <v>78</v>
      </c>
      <c r="E74" t="s">
        <v>84</v>
      </c>
      <c r="F74" t="s">
        <v>79</v>
      </c>
      <c r="G74" t="s">
        <v>80</v>
      </c>
      <c r="H74" s="1">
        <v>45301</v>
      </c>
      <c r="I74" s="1">
        <v>45305</v>
      </c>
      <c r="J74" s="86">
        <v>288.07600000000002</v>
      </c>
      <c r="K74" s="88">
        <v>518.86</v>
      </c>
      <c r="L74" s="88">
        <v>520</v>
      </c>
      <c r="M74" s="1">
        <v>45340</v>
      </c>
      <c r="N74" s="1">
        <v>45345</v>
      </c>
      <c r="O74" s="86">
        <v>288.07600000000002</v>
      </c>
      <c r="P74" t="s">
        <v>32</v>
      </c>
      <c r="Q74">
        <v>0</v>
      </c>
      <c r="R74">
        <v>1</v>
      </c>
      <c r="S74">
        <v>0</v>
      </c>
      <c r="T74" s="89">
        <v>40</v>
      </c>
      <c r="U74">
        <v>2024</v>
      </c>
      <c r="V74" s="90">
        <v>45292</v>
      </c>
      <c r="W74" s="87">
        <v>149471.11336000002</v>
      </c>
      <c r="X74" s="87">
        <v>149799.52000000002</v>
      </c>
      <c r="Y74" s="87">
        <v>-328.40663999999612</v>
      </c>
    </row>
    <row r="75" spans="1:25">
      <c r="A75" t="s">
        <v>199</v>
      </c>
      <c r="B75" t="s">
        <v>92</v>
      </c>
      <c r="C75" t="s">
        <v>93</v>
      </c>
      <c r="D75" t="s">
        <v>94</v>
      </c>
      <c r="E75" t="s">
        <v>56</v>
      </c>
      <c r="F75" t="s">
        <v>95</v>
      </c>
      <c r="G75" t="s">
        <v>96</v>
      </c>
      <c r="H75" s="1">
        <v>45299</v>
      </c>
      <c r="I75" s="1">
        <v>45302</v>
      </c>
      <c r="J75" s="86">
        <v>115.042</v>
      </c>
      <c r="K75" s="88">
        <v>3962.85</v>
      </c>
      <c r="L75" s="88">
        <v>3900</v>
      </c>
      <c r="M75" s="1">
        <v>45372</v>
      </c>
      <c r="N75" s="1">
        <v>45371</v>
      </c>
      <c r="O75" s="86">
        <v>115.042</v>
      </c>
      <c r="P75" t="s">
        <v>32</v>
      </c>
      <c r="Q75">
        <v>1</v>
      </c>
      <c r="R75">
        <v>1</v>
      </c>
      <c r="S75">
        <v>1</v>
      </c>
      <c r="T75" s="89">
        <v>69</v>
      </c>
      <c r="U75">
        <v>2024</v>
      </c>
      <c r="V75" s="90">
        <v>45292</v>
      </c>
      <c r="W75" s="87">
        <v>455894.18969999999</v>
      </c>
      <c r="X75" s="87">
        <v>448663.8</v>
      </c>
      <c r="Y75" s="87">
        <v>7230.3896999999897</v>
      </c>
    </row>
    <row r="76" spans="1:25">
      <c r="A76" t="s">
        <v>200</v>
      </c>
      <c r="B76" t="s">
        <v>26</v>
      </c>
      <c r="C76" t="s">
        <v>27</v>
      </c>
      <c r="D76" t="s">
        <v>28</v>
      </c>
      <c r="E76" t="s">
        <v>29</v>
      </c>
      <c r="F76" t="s">
        <v>30</v>
      </c>
      <c r="G76" t="s">
        <v>31</v>
      </c>
      <c r="H76" s="1">
        <v>45306</v>
      </c>
      <c r="I76" s="1">
        <v>45308</v>
      </c>
      <c r="J76" s="86">
        <v>28739.251</v>
      </c>
      <c r="K76" s="88">
        <v>116.89</v>
      </c>
      <c r="L76" s="88">
        <v>118</v>
      </c>
      <c r="M76" s="1">
        <v>45350</v>
      </c>
      <c r="N76" s="1">
        <v>45353</v>
      </c>
      <c r="O76" s="86">
        <v>28739.251</v>
      </c>
      <c r="P76" t="s">
        <v>32</v>
      </c>
      <c r="Q76">
        <v>0</v>
      </c>
      <c r="R76">
        <v>1</v>
      </c>
      <c r="S76">
        <v>0</v>
      </c>
      <c r="T76" s="89">
        <v>45</v>
      </c>
      <c r="U76">
        <v>2024</v>
      </c>
      <c r="V76" s="90">
        <v>45292</v>
      </c>
      <c r="W76" s="87">
        <v>3359331.0493899998</v>
      </c>
      <c r="X76" s="87">
        <v>3391231.6180000002</v>
      </c>
      <c r="Y76" s="87">
        <v>-31900.568609999984</v>
      </c>
    </row>
    <row r="77" spans="1:25">
      <c r="A77" t="s">
        <v>201</v>
      </c>
      <c r="B77" t="s">
        <v>54</v>
      </c>
      <c r="C77" t="s">
        <v>55</v>
      </c>
      <c r="D77" t="s">
        <v>49</v>
      </c>
      <c r="E77" t="s">
        <v>56</v>
      </c>
      <c r="F77" t="s">
        <v>57</v>
      </c>
      <c r="G77" t="s">
        <v>58</v>
      </c>
      <c r="H77" s="1">
        <v>45307</v>
      </c>
      <c r="I77" s="1">
        <v>45312</v>
      </c>
      <c r="J77" s="86">
        <v>25861.449000000001</v>
      </c>
      <c r="K77" s="88">
        <v>27.35</v>
      </c>
      <c r="L77" s="88">
        <v>28</v>
      </c>
      <c r="M77" s="1">
        <v>45354</v>
      </c>
      <c r="N77" s="1">
        <v>45352</v>
      </c>
      <c r="O77" s="86">
        <v>25861.449000000001</v>
      </c>
      <c r="P77" t="s">
        <v>32</v>
      </c>
      <c r="Q77">
        <v>1</v>
      </c>
      <c r="R77">
        <v>1</v>
      </c>
      <c r="S77">
        <v>1</v>
      </c>
      <c r="T77" s="89">
        <v>40</v>
      </c>
      <c r="U77">
        <v>2024</v>
      </c>
      <c r="V77" s="90">
        <v>45292</v>
      </c>
      <c r="W77" s="87">
        <v>707310.6301500001</v>
      </c>
      <c r="X77" s="87">
        <v>724120.57200000004</v>
      </c>
      <c r="Y77" s="87">
        <v>-16809.941849999963</v>
      </c>
    </row>
    <row r="78" spans="1:25">
      <c r="A78" t="s">
        <v>202</v>
      </c>
      <c r="B78" t="s">
        <v>60</v>
      </c>
      <c r="C78" t="s">
        <v>61</v>
      </c>
      <c r="D78" t="s">
        <v>49</v>
      </c>
      <c r="E78" t="s">
        <v>56</v>
      </c>
      <c r="F78" t="s">
        <v>57</v>
      </c>
      <c r="G78" t="s">
        <v>58</v>
      </c>
      <c r="H78" s="1">
        <v>45308</v>
      </c>
      <c r="I78" s="1">
        <v>45309</v>
      </c>
      <c r="J78" s="86">
        <v>2303.279</v>
      </c>
      <c r="K78" s="88">
        <v>414.39</v>
      </c>
      <c r="L78" s="88">
        <v>410</v>
      </c>
      <c r="M78" s="1">
        <v>45351</v>
      </c>
      <c r="N78" s="1">
        <v>45376</v>
      </c>
      <c r="O78" s="86">
        <v>2303.279</v>
      </c>
      <c r="P78" t="s">
        <v>32</v>
      </c>
      <c r="Q78">
        <v>0</v>
      </c>
      <c r="R78">
        <v>1</v>
      </c>
      <c r="S78">
        <v>0</v>
      </c>
      <c r="T78" s="89">
        <v>67</v>
      </c>
      <c r="U78">
        <v>2024</v>
      </c>
      <c r="V78" s="90">
        <v>45292</v>
      </c>
      <c r="W78" s="87">
        <v>954455.78480999998</v>
      </c>
      <c r="X78" s="87">
        <v>944344.39</v>
      </c>
      <c r="Y78" s="87">
        <v>10111.394809999969</v>
      </c>
    </row>
    <row r="79" spans="1:25">
      <c r="A79" t="s">
        <v>203</v>
      </c>
      <c r="B79" t="s">
        <v>63</v>
      </c>
      <c r="C79" t="s">
        <v>64</v>
      </c>
      <c r="D79" t="s">
        <v>49</v>
      </c>
      <c r="E79" t="s">
        <v>56</v>
      </c>
      <c r="F79" t="s">
        <v>65</v>
      </c>
      <c r="G79" t="s">
        <v>66</v>
      </c>
      <c r="H79" s="1">
        <v>45307</v>
      </c>
      <c r="I79" s="1">
        <v>45309</v>
      </c>
      <c r="J79" s="86">
        <v>3447.212</v>
      </c>
      <c r="K79" s="88">
        <v>160.69999999999999</v>
      </c>
      <c r="L79" s="88">
        <v>160</v>
      </c>
      <c r="M79" s="1">
        <v>45337</v>
      </c>
      <c r="N79" s="1">
        <v>45335</v>
      </c>
      <c r="O79" s="86">
        <v>3447.212</v>
      </c>
      <c r="P79" t="s">
        <v>32</v>
      </c>
      <c r="Q79">
        <v>1</v>
      </c>
      <c r="R79">
        <v>1</v>
      </c>
      <c r="S79">
        <v>1</v>
      </c>
      <c r="T79" s="89">
        <v>26</v>
      </c>
      <c r="U79">
        <v>2024</v>
      </c>
      <c r="V79" s="90">
        <v>45292</v>
      </c>
      <c r="W79" s="87">
        <v>553966.96840000001</v>
      </c>
      <c r="X79" s="87">
        <v>551553.92000000004</v>
      </c>
      <c r="Y79" s="87">
        <v>2413.048399999961</v>
      </c>
    </row>
    <row r="80" spans="1:25">
      <c r="A80" t="s">
        <v>204</v>
      </c>
      <c r="B80" t="s">
        <v>68</v>
      </c>
      <c r="C80" t="s">
        <v>69</v>
      </c>
      <c r="D80" t="s">
        <v>43</v>
      </c>
      <c r="E80" t="s">
        <v>37</v>
      </c>
      <c r="F80" t="s">
        <v>70</v>
      </c>
      <c r="G80" t="s">
        <v>71</v>
      </c>
      <c r="H80" s="1">
        <v>45307</v>
      </c>
      <c r="I80" s="1">
        <v>45310</v>
      </c>
      <c r="J80" s="86">
        <v>172425.16699999999</v>
      </c>
      <c r="K80" s="88">
        <v>4.16</v>
      </c>
      <c r="L80" s="88">
        <v>4.2</v>
      </c>
      <c r="M80" s="1">
        <v>45331</v>
      </c>
      <c r="N80" s="1">
        <v>45328</v>
      </c>
      <c r="O80" s="86">
        <v>172425.16699999999</v>
      </c>
      <c r="P80" t="s">
        <v>32</v>
      </c>
      <c r="Q80">
        <v>1</v>
      </c>
      <c r="R80">
        <v>1</v>
      </c>
      <c r="S80">
        <v>1</v>
      </c>
      <c r="T80" s="89">
        <v>18</v>
      </c>
      <c r="U80">
        <v>2024</v>
      </c>
      <c r="V80" s="90">
        <v>45292</v>
      </c>
      <c r="W80" s="87">
        <v>717288.69471999991</v>
      </c>
      <c r="X80" s="87">
        <v>724185.70140000002</v>
      </c>
      <c r="Y80" s="87">
        <v>-6897.0066800000059</v>
      </c>
    </row>
    <row r="81" spans="1:25">
      <c r="A81" t="s">
        <v>205</v>
      </c>
      <c r="B81" t="s">
        <v>76</v>
      </c>
      <c r="C81" t="s">
        <v>77</v>
      </c>
      <c r="D81" t="s">
        <v>78</v>
      </c>
      <c r="E81" t="s">
        <v>37</v>
      </c>
      <c r="F81" t="s">
        <v>79</v>
      </c>
      <c r="G81" t="s">
        <v>80</v>
      </c>
      <c r="H81" s="1">
        <v>45308</v>
      </c>
      <c r="I81" s="1">
        <v>45312</v>
      </c>
      <c r="J81" s="86">
        <v>17245.613000000001</v>
      </c>
      <c r="K81" s="88">
        <v>37.25</v>
      </c>
      <c r="L81" s="88">
        <v>38</v>
      </c>
      <c r="M81" s="1">
        <v>45347</v>
      </c>
      <c r="N81" s="1">
        <v>45354</v>
      </c>
      <c r="O81" s="86">
        <v>17245.613000000001</v>
      </c>
      <c r="P81" t="s">
        <v>32</v>
      </c>
      <c r="Q81">
        <v>0</v>
      </c>
      <c r="R81">
        <v>1</v>
      </c>
      <c r="S81">
        <v>0</v>
      </c>
      <c r="T81" s="89">
        <v>42</v>
      </c>
      <c r="U81">
        <v>2024</v>
      </c>
      <c r="V81" s="90">
        <v>45292</v>
      </c>
      <c r="W81" s="87">
        <v>642399.08425000007</v>
      </c>
      <c r="X81" s="87">
        <v>655333.29399999999</v>
      </c>
      <c r="Y81" s="87">
        <v>-12934.209750000002</v>
      </c>
    </row>
    <row r="82" spans="1:25">
      <c r="A82" t="s">
        <v>206</v>
      </c>
      <c r="B82" t="s">
        <v>86</v>
      </c>
      <c r="C82" t="s">
        <v>87</v>
      </c>
      <c r="D82" t="s">
        <v>88</v>
      </c>
      <c r="E82" t="s">
        <v>84</v>
      </c>
      <c r="F82" t="s">
        <v>89</v>
      </c>
      <c r="G82" t="s">
        <v>90</v>
      </c>
      <c r="H82" s="1">
        <v>45306</v>
      </c>
      <c r="I82" s="1">
        <v>45308</v>
      </c>
      <c r="J82" s="86">
        <v>17.234999999999999</v>
      </c>
      <c r="K82" s="88">
        <v>9681.5</v>
      </c>
      <c r="L82" s="88">
        <v>9500</v>
      </c>
      <c r="M82" s="1">
        <v>45371</v>
      </c>
      <c r="N82" s="1">
        <v>45369</v>
      </c>
      <c r="O82" s="86">
        <v>17.234999999999999</v>
      </c>
      <c r="P82" t="s">
        <v>32</v>
      </c>
      <c r="Q82">
        <v>1</v>
      </c>
      <c r="R82">
        <v>1</v>
      </c>
      <c r="S82">
        <v>1</v>
      </c>
      <c r="T82" s="89">
        <v>61</v>
      </c>
      <c r="U82">
        <v>2024</v>
      </c>
      <c r="V82" s="90">
        <v>45292</v>
      </c>
      <c r="W82" s="87">
        <v>166860.6525</v>
      </c>
      <c r="X82" s="87">
        <v>163732.5</v>
      </c>
      <c r="Y82" s="87">
        <v>3128.1524999999997</v>
      </c>
    </row>
    <row r="83" spans="1:25">
      <c r="A83" t="s">
        <v>207</v>
      </c>
      <c r="B83" t="s">
        <v>98</v>
      </c>
      <c r="C83" t="s">
        <v>99</v>
      </c>
      <c r="D83" t="s">
        <v>100</v>
      </c>
      <c r="E83" t="s">
        <v>101</v>
      </c>
      <c r="F83" t="s">
        <v>102</v>
      </c>
      <c r="G83" t="s">
        <v>103</v>
      </c>
      <c r="H83" s="1">
        <v>45306</v>
      </c>
      <c r="I83" s="1">
        <v>45308</v>
      </c>
      <c r="J83" s="86">
        <v>21.18</v>
      </c>
      <c r="K83" s="88">
        <v>6349.34</v>
      </c>
      <c r="L83" s="88">
        <v>6200</v>
      </c>
      <c r="M83" s="1">
        <v>45357</v>
      </c>
      <c r="N83" s="1">
        <v>45364</v>
      </c>
      <c r="O83" s="86">
        <v>21.18</v>
      </c>
      <c r="P83" t="s">
        <v>32</v>
      </c>
      <c r="Q83">
        <v>0</v>
      </c>
      <c r="R83">
        <v>1</v>
      </c>
      <c r="S83">
        <v>0</v>
      </c>
      <c r="T83" s="89">
        <v>56</v>
      </c>
      <c r="U83">
        <v>2024</v>
      </c>
      <c r="V83" s="90">
        <v>45292</v>
      </c>
      <c r="W83" s="87">
        <v>134479.02119999999</v>
      </c>
      <c r="X83" s="87">
        <v>131316</v>
      </c>
      <c r="Y83" s="87">
        <v>3163.0212000000029</v>
      </c>
    </row>
    <row r="84" spans="1:25">
      <c r="A84" t="s">
        <v>208</v>
      </c>
      <c r="B84" t="s">
        <v>105</v>
      </c>
      <c r="C84" t="s">
        <v>106</v>
      </c>
      <c r="D84" t="s">
        <v>107</v>
      </c>
      <c r="E84" t="s">
        <v>101</v>
      </c>
      <c r="F84" t="s">
        <v>108</v>
      </c>
      <c r="G84" t="s">
        <v>109</v>
      </c>
      <c r="H84" s="1">
        <v>45313</v>
      </c>
      <c r="I84" s="1">
        <v>45317</v>
      </c>
      <c r="J84" s="86">
        <v>3.55</v>
      </c>
      <c r="K84" s="88">
        <v>48027.46</v>
      </c>
      <c r="L84" s="88">
        <v>48000</v>
      </c>
      <c r="M84" s="1">
        <v>45443</v>
      </c>
      <c r="N84" s="1">
        <v>45440</v>
      </c>
      <c r="O84" s="86">
        <v>3.55</v>
      </c>
      <c r="P84" t="s">
        <v>32</v>
      </c>
      <c r="Q84">
        <v>1</v>
      </c>
      <c r="R84">
        <v>1</v>
      </c>
      <c r="S84">
        <v>1</v>
      </c>
      <c r="T84" s="89">
        <v>123</v>
      </c>
      <c r="U84">
        <v>2024</v>
      </c>
      <c r="V84" s="90">
        <v>45292</v>
      </c>
      <c r="W84" s="87">
        <v>170497.48299999998</v>
      </c>
      <c r="X84" s="87">
        <v>170400</v>
      </c>
      <c r="Y84" s="87">
        <v>97.482999999996892</v>
      </c>
    </row>
    <row r="85" spans="1:25">
      <c r="A85" t="s">
        <v>209</v>
      </c>
      <c r="B85" t="s">
        <v>92</v>
      </c>
      <c r="C85" t="s">
        <v>93</v>
      </c>
      <c r="D85" t="s">
        <v>94</v>
      </c>
      <c r="E85" t="s">
        <v>56</v>
      </c>
      <c r="F85" t="s">
        <v>95</v>
      </c>
      <c r="G85" t="s">
        <v>96</v>
      </c>
      <c r="H85" s="1">
        <v>45329</v>
      </c>
      <c r="I85" s="1">
        <v>45332</v>
      </c>
      <c r="J85" s="86">
        <v>97.932000000000002</v>
      </c>
      <c r="K85" s="88">
        <v>3911.59</v>
      </c>
      <c r="L85" s="88">
        <v>3900</v>
      </c>
      <c r="M85" s="1">
        <v>45402</v>
      </c>
      <c r="N85" s="1">
        <v>45402</v>
      </c>
      <c r="O85" s="86">
        <v>97.932000000000002</v>
      </c>
      <c r="P85" t="s">
        <v>32</v>
      </c>
      <c r="Q85">
        <v>1</v>
      </c>
      <c r="R85">
        <v>1</v>
      </c>
      <c r="S85">
        <v>1</v>
      </c>
      <c r="T85" s="89">
        <v>70</v>
      </c>
      <c r="U85">
        <v>2024</v>
      </c>
      <c r="V85" s="90">
        <v>45323</v>
      </c>
      <c r="W85" s="87">
        <v>383069.83188000001</v>
      </c>
      <c r="X85" s="87">
        <v>381934.8</v>
      </c>
      <c r="Y85" s="87">
        <v>1135.0318800000143</v>
      </c>
    </row>
    <row r="86" spans="1:25">
      <c r="A86" t="s">
        <v>210</v>
      </c>
      <c r="B86" t="s">
        <v>134</v>
      </c>
      <c r="C86" t="s">
        <v>135</v>
      </c>
      <c r="D86" t="s">
        <v>136</v>
      </c>
      <c r="E86" t="s">
        <v>101</v>
      </c>
      <c r="F86" t="s">
        <v>137</v>
      </c>
      <c r="G86" t="s">
        <v>138</v>
      </c>
      <c r="H86" s="1">
        <v>45327</v>
      </c>
      <c r="I86" s="1">
        <v>45329</v>
      </c>
      <c r="J86" s="86">
        <v>65140.311999999998</v>
      </c>
      <c r="K86" s="88">
        <v>6.49</v>
      </c>
      <c r="L86" s="88">
        <v>6.5</v>
      </c>
      <c r="M86" s="1">
        <v>45385</v>
      </c>
      <c r="N86" s="1">
        <v>45382</v>
      </c>
      <c r="O86" s="86">
        <v>65140.311999999998</v>
      </c>
      <c r="P86" t="s">
        <v>32</v>
      </c>
      <c r="Q86">
        <v>1</v>
      </c>
      <c r="R86">
        <v>1</v>
      </c>
      <c r="S86">
        <v>1</v>
      </c>
      <c r="T86" s="89">
        <v>53</v>
      </c>
      <c r="U86">
        <v>2024</v>
      </c>
      <c r="V86" s="90">
        <v>45323</v>
      </c>
      <c r="W86" s="87">
        <v>422760.62488000002</v>
      </c>
      <c r="X86" s="87">
        <v>423412.02799999999</v>
      </c>
      <c r="Y86" s="87">
        <v>-651.40311999998607</v>
      </c>
    </row>
    <row r="87" spans="1:25">
      <c r="A87" t="s">
        <v>211</v>
      </c>
      <c r="B87" t="s">
        <v>41</v>
      </c>
      <c r="C87" t="s">
        <v>42</v>
      </c>
      <c r="D87" t="s">
        <v>43</v>
      </c>
      <c r="E87" t="s">
        <v>37</v>
      </c>
      <c r="F87" t="s">
        <v>44</v>
      </c>
      <c r="G87" t="s">
        <v>45</v>
      </c>
      <c r="H87" s="1">
        <v>45334</v>
      </c>
      <c r="I87" s="1">
        <v>45337</v>
      </c>
      <c r="J87" s="86">
        <v>51713.082999999999</v>
      </c>
      <c r="K87" s="88">
        <v>9.5399999999999991</v>
      </c>
      <c r="L87" s="88">
        <v>9.5</v>
      </c>
      <c r="M87" s="1">
        <v>45358</v>
      </c>
      <c r="N87" s="1">
        <v>45355</v>
      </c>
      <c r="O87" s="86">
        <v>51713.082999999999</v>
      </c>
      <c r="P87" t="s">
        <v>32</v>
      </c>
      <c r="Q87">
        <v>1</v>
      </c>
      <c r="R87">
        <v>1</v>
      </c>
      <c r="S87">
        <v>1</v>
      </c>
      <c r="T87" s="89">
        <v>18</v>
      </c>
      <c r="U87">
        <v>2024</v>
      </c>
      <c r="V87" s="90">
        <v>45323</v>
      </c>
      <c r="W87" s="87">
        <v>493342.81181999994</v>
      </c>
      <c r="X87" s="87">
        <v>491274.28849999997</v>
      </c>
      <c r="Y87" s="87">
        <v>2068.5233199999557</v>
      </c>
    </row>
    <row r="88" spans="1:25">
      <c r="A88" t="s">
        <v>212</v>
      </c>
      <c r="B88" t="s">
        <v>47</v>
      </c>
      <c r="C88" t="s">
        <v>48</v>
      </c>
      <c r="D88" t="s">
        <v>49</v>
      </c>
      <c r="E88" t="s">
        <v>50</v>
      </c>
      <c r="F88" t="s">
        <v>51</v>
      </c>
      <c r="G88" t="s">
        <v>52</v>
      </c>
      <c r="H88" s="1">
        <v>45335</v>
      </c>
      <c r="I88" s="1">
        <v>45342</v>
      </c>
      <c r="J88" s="86">
        <v>172.35</v>
      </c>
      <c r="K88" s="88">
        <v>2106.35</v>
      </c>
      <c r="L88" s="88">
        <v>1850</v>
      </c>
      <c r="M88" s="1">
        <v>45356</v>
      </c>
      <c r="N88" s="1">
        <v>45353</v>
      </c>
      <c r="O88" s="86">
        <v>172.35</v>
      </c>
      <c r="P88" t="s">
        <v>213</v>
      </c>
      <c r="Q88">
        <v>1</v>
      </c>
      <c r="R88">
        <v>1</v>
      </c>
      <c r="S88">
        <v>1</v>
      </c>
      <c r="T88" s="89">
        <v>11</v>
      </c>
      <c r="U88">
        <v>2024</v>
      </c>
      <c r="V88" s="90">
        <v>45323</v>
      </c>
      <c r="W88" s="87">
        <v>363029.42249999999</v>
      </c>
      <c r="X88" s="87">
        <v>318847.5</v>
      </c>
      <c r="Y88" s="87">
        <v>44181.922499999986</v>
      </c>
    </row>
    <row r="89" spans="1:25">
      <c r="A89" t="s">
        <v>214</v>
      </c>
      <c r="B89" t="s">
        <v>111</v>
      </c>
      <c r="C89" t="s">
        <v>112</v>
      </c>
      <c r="D89" t="s">
        <v>113</v>
      </c>
      <c r="E89" t="s">
        <v>84</v>
      </c>
      <c r="F89" t="s">
        <v>114</v>
      </c>
      <c r="G89" t="s">
        <v>115</v>
      </c>
      <c r="H89" s="1">
        <v>45334</v>
      </c>
      <c r="I89" s="1">
        <v>45342</v>
      </c>
      <c r="J89" s="86">
        <v>26185105.287999999</v>
      </c>
      <c r="K89" s="88">
        <v>0.11219999999999999</v>
      </c>
      <c r="L89" s="88">
        <v>0.11</v>
      </c>
      <c r="M89" s="1">
        <v>45412</v>
      </c>
      <c r="N89" s="1">
        <v>45411</v>
      </c>
      <c r="O89" s="86">
        <v>26185105.287999999</v>
      </c>
      <c r="P89" t="s">
        <v>32</v>
      </c>
      <c r="Q89">
        <v>1</v>
      </c>
      <c r="R89">
        <v>1</v>
      </c>
      <c r="S89">
        <v>1</v>
      </c>
      <c r="T89" s="89">
        <v>69</v>
      </c>
      <c r="U89">
        <v>2024</v>
      </c>
      <c r="V89" s="90">
        <v>45323</v>
      </c>
      <c r="W89" s="87">
        <v>2937968.8133135997</v>
      </c>
      <c r="X89" s="87">
        <v>2880361.5816799998</v>
      </c>
      <c r="Y89" s="87">
        <v>57607.231633599833</v>
      </c>
    </row>
    <row r="90" spans="1:25">
      <c r="A90" t="s">
        <v>215</v>
      </c>
      <c r="B90" t="s">
        <v>117</v>
      </c>
      <c r="C90" t="s">
        <v>118</v>
      </c>
      <c r="D90" t="s">
        <v>119</v>
      </c>
      <c r="E90" t="s">
        <v>120</v>
      </c>
      <c r="F90" t="s">
        <v>121</v>
      </c>
      <c r="G90" t="s">
        <v>122</v>
      </c>
      <c r="H90" s="1">
        <v>45335</v>
      </c>
      <c r="I90" s="1">
        <v>45337</v>
      </c>
      <c r="J90" s="86">
        <v>15618409.392000001</v>
      </c>
      <c r="K90" s="88">
        <v>4.0000000000000001E-3</v>
      </c>
      <c r="L90" s="88">
        <v>4.0000000000000001E-3</v>
      </c>
      <c r="M90" s="1">
        <v>45372</v>
      </c>
      <c r="N90" s="1">
        <v>45370</v>
      </c>
      <c r="O90" s="86">
        <v>15618409.392000001</v>
      </c>
      <c r="P90" t="s">
        <v>32</v>
      </c>
      <c r="Q90">
        <v>1</v>
      </c>
      <c r="R90">
        <v>1</v>
      </c>
      <c r="S90">
        <v>1</v>
      </c>
      <c r="T90" s="89">
        <v>33</v>
      </c>
      <c r="U90">
        <v>2024</v>
      </c>
      <c r="V90" s="90">
        <v>45323</v>
      </c>
      <c r="W90" s="87">
        <v>62473.637568000006</v>
      </c>
      <c r="X90" s="87">
        <v>62473.637568000006</v>
      </c>
      <c r="Y90" s="87">
        <v>0</v>
      </c>
    </row>
    <row r="91" spans="1:25">
      <c r="A91" t="s">
        <v>216</v>
      </c>
      <c r="B91" t="s">
        <v>124</v>
      </c>
      <c r="C91" t="s">
        <v>125</v>
      </c>
      <c r="D91" t="s">
        <v>119</v>
      </c>
      <c r="E91" t="s">
        <v>126</v>
      </c>
      <c r="F91" t="s">
        <v>121</v>
      </c>
      <c r="G91" t="s">
        <v>122</v>
      </c>
      <c r="H91" s="1">
        <v>45336</v>
      </c>
      <c r="I91" s="1">
        <v>45338</v>
      </c>
      <c r="J91" s="86">
        <v>9125766.898</v>
      </c>
      <c r="K91" s="88">
        <v>2.0199999999999999E-2</v>
      </c>
      <c r="L91" s="88">
        <v>0.02</v>
      </c>
      <c r="M91" s="1">
        <v>45373</v>
      </c>
      <c r="N91" s="1">
        <v>45371</v>
      </c>
      <c r="O91" s="86">
        <v>9125766.898</v>
      </c>
      <c r="P91" t="s">
        <v>32</v>
      </c>
      <c r="Q91">
        <v>1</v>
      </c>
      <c r="R91">
        <v>1</v>
      </c>
      <c r="S91">
        <v>1</v>
      </c>
      <c r="T91" s="89">
        <v>33</v>
      </c>
      <c r="U91">
        <v>2024</v>
      </c>
      <c r="V91" s="90">
        <v>45323</v>
      </c>
      <c r="W91" s="87">
        <v>184340.4913396</v>
      </c>
      <c r="X91" s="87">
        <v>182515.33796</v>
      </c>
      <c r="Y91" s="87">
        <v>1825.153379599989</v>
      </c>
    </row>
    <row r="92" spans="1:25">
      <c r="A92" t="s">
        <v>217</v>
      </c>
      <c r="B92" t="s">
        <v>140</v>
      </c>
      <c r="C92" t="s">
        <v>141</v>
      </c>
      <c r="D92" t="s">
        <v>142</v>
      </c>
      <c r="E92" t="s">
        <v>84</v>
      </c>
      <c r="F92" t="s">
        <v>143</v>
      </c>
      <c r="G92" t="s">
        <v>144</v>
      </c>
      <c r="H92" s="1">
        <v>45335</v>
      </c>
      <c r="I92" s="1">
        <v>45339</v>
      </c>
      <c r="J92" s="86">
        <v>26096250.548</v>
      </c>
      <c r="K92" s="88">
        <v>1.2E-2</v>
      </c>
      <c r="L92" s="88">
        <v>1.2E-2</v>
      </c>
      <c r="M92" s="1">
        <v>45353</v>
      </c>
      <c r="N92" s="1">
        <v>45353</v>
      </c>
      <c r="O92" s="86">
        <v>26096250.548</v>
      </c>
      <c r="P92" t="s">
        <v>32</v>
      </c>
      <c r="Q92">
        <v>1</v>
      </c>
      <c r="R92">
        <v>1</v>
      </c>
      <c r="S92">
        <v>1</v>
      </c>
      <c r="T92" s="89">
        <v>14</v>
      </c>
      <c r="U92">
        <v>2024</v>
      </c>
      <c r="V92" s="90">
        <v>45323</v>
      </c>
      <c r="W92" s="87">
        <v>313155.00657600001</v>
      </c>
      <c r="X92" s="87">
        <v>313155.00657600001</v>
      </c>
      <c r="Y92" s="87">
        <v>0</v>
      </c>
    </row>
    <row r="93" spans="1:25">
      <c r="A93" t="s">
        <v>218</v>
      </c>
      <c r="B93" t="s">
        <v>34</v>
      </c>
      <c r="C93" t="s">
        <v>35</v>
      </c>
      <c r="D93" t="s">
        <v>36</v>
      </c>
      <c r="E93" t="s">
        <v>37</v>
      </c>
      <c r="F93" t="s">
        <v>38</v>
      </c>
      <c r="G93" t="s">
        <v>39</v>
      </c>
      <c r="H93" s="1">
        <v>45343</v>
      </c>
      <c r="I93" s="1">
        <v>45350</v>
      </c>
      <c r="J93" s="86">
        <v>905.18299999999999</v>
      </c>
      <c r="K93" s="88">
        <v>2405.87</v>
      </c>
      <c r="L93" s="88">
        <v>2400</v>
      </c>
      <c r="M93" s="1">
        <v>45420</v>
      </c>
      <c r="N93" s="1">
        <v>45417</v>
      </c>
      <c r="O93" s="86">
        <v>905.18299999999999</v>
      </c>
      <c r="P93" t="s">
        <v>32</v>
      </c>
      <c r="Q93">
        <v>1</v>
      </c>
      <c r="R93">
        <v>1</v>
      </c>
      <c r="S93">
        <v>1</v>
      </c>
      <c r="T93" s="89">
        <v>67</v>
      </c>
      <c r="U93">
        <v>2024</v>
      </c>
      <c r="V93" s="90">
        <v>45323</v>
      </c>
      <c r="W93" s="87">
        <v>2177752.62421</v>
      </c>
      <c r="X93" s="87">
        <v>2172439.2000000002</v>
      </c>
      <c r="Y93" s="87">
        <v>5313.424209999901</v>
      </c>
    </row>
    <row r="94" spans="1:25">
      <c r="A94" t="s">
        <v>219</v>
      </c>
      <c r="B94" t="s">
        <v>73</v>
      </c>
      <c r="C94" t="s">
        <v>74</v>
      </c>
      <c r="D94" t="s">
        <v>43</v>
      </c>
      <c r="E94" t="s">
        <v>37</v>
      </c>
      <c r="F94" t="s">
        <v>70</v>
      </c>
      <c r="G94" t="s">
        <v>71</v>
      </c>
      <c r="H94" s="1">
        <v>45343</v>
      </c>
      <c r="I94" s="1">
        <v>45348</v>
      </c>
      <c r="J94" s="86">
        <v>64710.129000000001</v>
      </c>
      <c r="K94" s="88">
        <v>6.79</v>
      </c>
      <c r="L94" s="88">
        <v>6.8</v>
      </c>
      <c r="M94" s="1">
        <v>45369</v>
      </c>
      <c r="N94" s="1">
        <v>45367</v>
      </c>
      <c r="O94" s="86">
        <v>50032.862999999998</v>
      </c>
      <c r="P94" t="s">
        <v>32</v>
      </c>
      <c r="Q94">
        <v>1</v>
      </c>
      <c r="R94">
        <v>0</v>
      </c>
      <c r="S94">
        <v>0</v>
      </c>
      <c r="T94" s="89">
        <v>19</v>
      </c>
      <c r="U94">
        <v>2024</v>
      </c>
      <c r="V94" s="90">
        <v>45323</v>
      </c>
      <c r="W94" s="87">
        <v>339723.13977000001</v>
      </c>
      <c r="X94" s="87">
        <v>340223.46839999995</v>
      </c>
      <c r="Y94" s="87">
        <v>-500.32862999998929</v>
      </c>
    </row>
    <row r="95" spans="1:25">
      <c r="A95" t="s">
        <v>220</v>
      </c>
      <c r="B95" t="s">
        <v>82</v>
      </c>
      <c r="C95" t="s">
        <v>83</v>
      </c>
      <c r="D95" t="s">
        <v>78</v>
      </c>
      <c r="E95" t="s">
        <v>84</v>
      </c>
      <c r="F95" t="s">
        <v>79</v>
      </c>
      <c r="G95" t="s">
        <v>80</v>
      </c>
      <c r="H95" s="1">
        <v>45341</v>
      </c>
      <c r="I95" s="1">
        <v>45343</v>
      </c>
      <c r="J95" s="86">
        <v>310.95499999999998</v>
      </c>
      <c r="K95" s="88">
        <v>522.98</v>
      </c>
      <c r="L95" s="88">
        <v>520</v>
      </c>
      <c r="M95" s="1">
        <v>45378</v>
      </c>
      <c r="N95" s="1">
        <v>45375</v>
      </c>
      <c r="O95" s="86">
        <v>310.95499999999998</v>
      </c>
      <c r="P95" t="s">
        <v>32</v>
      </c>
      <c r="Q95">
        <v>1</v>
      </c>
      <c r="R95">
        <v>1</v>
      </c>
      <c r="S95">
        <v>1</v>
      </c>
      <c r="T95" s="89">
        <v>32</v>
      </c>
      <c r="U95">
        <v>2024</v>
      </c>
      <c r="V95" s="90">
        <v>45323</v>
      </c>
      <c r="W95" s="87">
        <v>162623.24590000001</v>
      </c>
      <c r="X95" s="87">
        <v>161696.6</v>
      </c>
      <c r="Y95" s="87">
        <v>926.64590000000555</v>
      </c>
    </row>
    <row r="96" spans="1:25">
      <c r="A96" t="s">
        <v>221</v>
      </c>
      <c r="B96" t="s">
        <v>26</v>
      </c>
      <c r="C96" t="s">
        <v>27</v>
      </c>
      <c r="D96" t="s">
        <v>28</v>
      </c>
      <c r="E96" t="s">
        <v>29</v>
      </c>
      <c r="F96" t="s">
        <v>149</v>
      </c>
      <c r="G96" t="s">
        <v>150</v>
      </c>
      <c r="H96" s="1">
        <v>45349</v>
      </c>
      <c r="I96" s="1">
        <v>45350</v>
      </c>
      <c r="J96" s="86">
        <v>25906.441999999999</v>
      </c>
      <c r="K96" s="88">
        <v>119.95</v>
      </c>
      <c r="L96" s="88">
        <v>118</v>
      </c>
      <c r="M96" s="1">
        <v>45392</v>
      </c>
      <c r="N96" s="1">
        <v>45389</v>
      </c>
      <c r="O96" s="86">
        <v>25906.441999999999</v>
      </c>
      <c r="P96" t="s">
        <v>32</v>
      </c>
      <c r="Q96">
        <v>1</v>
      </c>
      <c r="R96">
        <v>1</v>
      </c>
      <c r="S96">
        <v>1</v>
      </c>
      <c r="T96" s="89">
        <v>39</v>
      </c>
      <c r="U96">
        <v>2024</v>
      </c>
      <c r="V96" s="90">
        <v>45323</v>
      </c>
      <c r="W96" s="87">
        <v>3107477.7179</v>
      </c>
      <c r="X96" s="87">
        <v>3056960.156</v>
      </c>
      <c r="Y96" s="87">
        <v>50517.561900000073</v>
      </c>
    </row>
    <row r="97" spans="1:25">
      <c r="A97" t="s">
        <v>222</v>
      </c>
      <c r="B97" t="s">
        <v>54</v>
      </c>
      <c r="C97" t="s">
        <v>55</v>
      </c>
      <c r="D97" t="s">
        <v>49</v>
      </c>
      <c r="E97" t="s">
        <v>56</v>
      </c>
      <c r="F97" t="s">
        <v>65</v>
      </c>
      <c r="G97" t="s">
        <v>66</v>
      </c>
      <c r="H97" s="1">
        <v>45348</v>
      </c>
      <c r="I97" s="1">
        <v>45352</v>
      </c>
      <c r="J97" s="86">
        <v>23317.091</v>
      </c>
      <c r="K97" s="88">
        <v>28.3</v>
      </c>
      <c r="L97" s="88">
        <v>28</v>
      </c>
      <c r="M97" s="1">
        <v>45394</v>
      </c>
      <c r="N97" s="1">
        <v>45392</v>
      </c>
      <c r="O97" s="86">
        <v>23317.091</v>
      </c>
      <c r="P97" t="s">
        <v>32</v>
      </c>
      <c r="Q97">
        <v>1</v>
      </c>
      <c r="R97">
        <v>1</v>
      </c>
      <c r="S97">
        <v>1</v>
      </c>
      <c r="T97" s="89">
        <v>40</v>
      </c>
      <c r="U97">
        <v>2024</v>
      </c>
      <c r="V97" s="90">
        <v>45352</v>
      </c>
      <c r="W97" s="87">
        <v>659873.6753</v>
      </c>
      <c r="X97" s="87">
        <v>652878.54799999995</v>
      </c>
      <c r="Y97" s="87">
        <v>6995.1273000000165</v>
      </c>
    </row>
    <row r="98" spans="1:25">
      <c r="A98" t="s">
        <v>223</v>
      </c>
      <c r="B98" t="s">
        <v>60</v>
      </c>
      <c r="C98" t="s">
        <v>61</v>
      </c>
      <c r="D98" t="s">
        <v>49</v>
      </c>
      <c r="E98" t="s">
        <v>56</v>
      </c>
      <c r="F98" t="s">
        <v>57</v>
      </c>
      <c r="G98" t="s">
        <v>58</v>
      </c>
      <c r="H98" s="1">
        <v>45348</v>
      </c>
      <c r="I98" s="1">
        <v>45353</v>
      </c>
      <c r="J98" s="86">
        <v>2072</v>
      </c>
      <c r="K98" s="88">
        <v>419.05</v>
      </c>
      <c r="L98" s="88">
        <v>410</v>
      </c>
      <c r="M98" s="1">
        <v>45395</v>
      </c>
      <c r="N98" s="1">
        <v>45400</v>
      </c>
      <c r="O98" s="86">
        <v>2072</v>
      </c>
      <c r="P98" t="s">
        <v>32</v>
      </c>
      <c r="Q98">
        <v>0</v>
      </c>
      <c r="R98">
        <v>1</v>
      </c>
      <c r="S98">
        <v>0</v>
      </c>
      <c r="T98" s="89">
        <v>47</v>
      </c>
      <c r="U98">
        <v>2024</v>
      </c>
      <c r="V98" s="90">
        <v>45352</v>
      </c>
      <c r="W98" s="87">
        <v>868271.6</v>
      </c>
      <c r="X98" s="87">
        <v>849520</v>
      </c>
      <c r="Y98" s="87">
        <v>18751.600000000024</v>
      </c>
    </row>
    <row r="99" spans="1:25">
      <c r="A99" t="s">
        <v>224</v>
      </c>
      <c r="B99" t="s">
        <v>63</v>
      </c>
      <c r="C99" t="s">
        <v>64</v>
      </c>
      <c r="D99" t="s">
        <v>49</v>
      </c>
      <c r="E99" t="s">
        <v>56</v>
      </c>
      <c r="F99" t="s">
        <v>65</v>
      </c>
      <c r="G99" t="s">
        <v>66</v>
      </c>
      <c r="H99" s="1">
        <v>45349</v>
      </c>
      <c r="I99" s="1">
        <v>45352</v>
      </c>
      <c r="J99" s="86">
        <v>3108.5659999999998</v>
      </c>
      <c r="K99" s="88">
        <v>160.22999999999999</v>
      </c>
      <c r="L99" s="88">
        <v>160</v>
      </c>
      <c r="M99" s="1">
        <v>45380</v>
      </c>
      <c r="N99" s="1">
        <v>45379</v>
      </c>
      <c r="O99" s="86">
        <v>3108.5659999999998</v>
      </c>
      <c r="P99" t="s">
        <v>32</v>
      </c>
      <c r="Q99">
        <v>1</v>
      </c>
      <c r="R99">
        <v>1</v>
      </c>
      <c r="S99">
        <v>1</v>
      </c>
      <c r="T99" s="89">
        <v>27</v>
      </c>
      <c r="U99">
        <v>2024</v>
      </c>
      <c r="V99" s="90">
        <v>45352</v>
      </c>
      <c r="W99" s="87">
        <v>498085.53017999994</v>
      </c>
      <c r="X99" s="87">
        <v>497370.55999999994</v>
      </c>
      <c r="Y99" s="87">
        <v>714.9701799999682</v>
      </c>
    </row>
    <row r="100" spans="1:25">
      <c r="A100" t="s">
        <v>225</v>
      </c>
      <c r="B100" t="s">
        <v>68</v>
      </c>
      <c r="C100" t="s">
        <v>69</v>
      </c>
      <c r="D100" t="s">
        <v>43</v>
      </c>
      <c r="E100" t="s">
        <v>37</v>
      </c>
      <c r="F100" t="s">
        <v>44</v>
      </c>
      <c r="G100" t="s">
        <v>45</v>
      </c>
      <c r="H100" s="1">
        <v>45348</v>
      </c>
      <c r="I100" s="1">
        <v>45350</v>
      </c>
      <c r="J100" s="86">
        <v>155562.087</v>
      </c>
      <c r="K100" s="88">
        <v>4.26</v>
      </c>
      <c r="L100" s="88">
        <v>4.2</v>
      </c>
      <c r="M100" s="1">
        <v>45371</v>
      </c>
      <c r="N100" s="1">
        <v>45368</v>
      </c>
      <c r="O100" s="86">
        <v>155562.087</v>
      </c>
      <c r="P100" t="s">
        <v>32</v>
      </c>
      <c r="Q100">
        <v>1</v>
      </c>
      <c r="R100">
        <v>1</v>
      </c>
      <c r="S100">
        <v>1</v>
      </c>
      <c r="T100" s="89">
        <v>18</v>
      </c>
      <c r="U100">
        <v>2024</v>
      </c>
      <c r="V100" s="90">
        <v>45323</v>
      </c>
      <c r="W100" s="87">
        <v>662694.49061999994</v>
      </c>
      <c r="X100" s="87">
        <v>653360.76540000003</v>
      </c>
      <c r="Y100" s="87">
        <v>9333.7252199999384</v>
      </c>
    </row>
    <row r="101" spans="1:25">
      <c r="A101" t="s">
        <v>226</v>
      </c>
      <c r="B101" t="s">
        <v>76</v>
      </c>
      <c r="C101" t="s">
        <v>77</v>
      </c>
      <c r="D101" t="s">
        <v>78</v>
      </c>
      <c r="E101" t="s">
        <v>37</v>
      </c>
      <c r="F101" t="s">
        <v>79</v>
      </c>
      <c r="G101" t="s">
        <v>80</v>
      </c>
      <c r="H101" s="1">
        <v>45348</v>
      </c>
      <c r="I101" s="1">
        <v>45351</v>
      </c>
      <c r="J101" s="86">
        <v>15544.091</v>
      </c>
      <c r="K101" s="88">
        <v>38.520000000000003</v>
      </c>
      <c r="L101" s="88">
        <v>38</v>
      </c>
      <c r="M101" s="1">
        <v>45386</v>
      </c>
      <c r="N101" s="1">
        <v>45386</v>
      </c>
      <c r="O101" s="86">
        <v>15544.091</v>
      </c>
      <c r="P101" t="s">
        <v>32</v>
      </c>
      <c r="Q101">
        <v>1</v>
      </c>
      <c r="R101">
        <v>1</v>
      </c>
      <c r="S101">
        <v>1</v>
      </c>
      <c r="T101" s="89">
        <v>35</v>
      </c>
      <c r="U101">
        <v>2024</v>
      </c>
      <c r="V101" s="90">
        <v>45323</v>
      </c>
      <c r="W101" s="87">
        <v>598758.38532000012</v>
      </c>
      <c r="X101" s="87">
        <v>590675.45799999998</v>
      </c>
      <c r="Y101" s="87">
        <v>8082.9273200000489</v>
      </c>
    </row>
    <row r="102" spans="1:25">
      <c r="A102" t="s">
        <v>227</v>
      </c>
      <c r="B102" t="s">
        <v>86</v>
      </c>
      <c r="C102" t="s">
        <v>87</v>
      </c>
      <c r="D102" t="s">
        <v>88</v>
      </c>
      <c r="E102" t="s">
        <v>84</v>
      </c>
      <c r="F102" t="s">
        <v>89</v>
      </c>
      <c r="G102" t="s">
        <v>90</v>
      </c>
      <c r="H102" s="1">
        <v>45348</v>
      </c>
      <c r="I102" s="1">
        <v>45353</v>
      </c>
      <c r="J102" s="86">
        <v>15.54</v>
      </c>
      <c r="K102" s="88">
        <v>9494.2199999999993</v>
      </c>
      <c r="L102" s="88">
        <v>9500</v>
      </c>
      <c r="M102" s="1">
        <v>45416</v>
      </c>
      <c r="N102" s="1">
        <v>45415</v>
      </c>
      <c r="O102" s="86">
        <v>15.54</v>
      </c>
      <c r="P102" t="s">
        <v>32</v>
      </c>
      <c r="Q102">
        <v>1</v>
      </c>
      <c r="R102">
        <v>1</v>
      </c>
      <c r="S102">
        <v>1</v>
      </c>
      <c r="T102" s="89">
        <v>62</v>
      </c>
      <c r="U102">
        <v>2024</v>
      </c>
      <c r="V102" s="90">
        <v>45352</v>
      </c>
      <c r="W102" s="87">
        <v>147540.17879999999</v>
      </c>
      <c r="X102" s="87">
        <v>147630</v>
      </c>
      <c r="Y102" s="87">
        <v>-89.821200000010165</v>
      </c>
    </row>
    <row r="103" spans="1:25">
      <c r="A103" t="s">
        <v>228</v>
      </c>
      <c r="B103" t="s">
        <v>98</v>
      </c>
      <c r="C103" t="s">
        <v>99</v>
      </c>
      <c r="D103" t="s">
        <v>100</v>
      </c>
      <c r="E103" t="s">
        <v>101</v>
      </c>
      <c r="F103" t="s">
        <v>102</v>
      </c>
      <c r="G103" t="s">
        <v>103</v>
      </c>
      <c r="H103" s="1">
        <v>45348</v>
      </c>
      <c r="I103" s="1">
        <v>45349</v>
      </c>
      <c r="J103" s="86">
        <v>20.72</v>
      </c>
      <c r="K103" s="88">
        <v>6346.45</v>
      </c>
      <c r="L103" s="88">
        <v>6200</v>
      </c>
      <c r="M103" s="1">
        <v>45398</v>
      </c>
      <c r="N103" s="1">
        <v>45397</v>
      </c>
      <c r="O103" s="86">
        <v>20.72</v>
      </c>
      <c r="P103" t="s">
        <v>32</v>
      </c>
      <c r="Q103">
        <v>1</v>
      </c>
      <c r="R103">
        <v>1</v>
      </c>
      <c r="S103">
        <v>1</v>
      </c>
      <c r="T103" s="89">
        <v>48</v>
      </c>
      <c r="U103">
        <v>2024</v>
      </c>
      <c r="V103" s="90">
        <v>45323</v>
      </c>
      <c r="W103" s="87">
        <v>131498.44399999999</v>
      </c>
      <c r="X103" s="87">
        <v>128464</v>
      </c>
      <c r="Y103" s="87">
        <v>3034.4439999999959</v>
      </c>
    </row>
    <row r="104" spans="1:25">
      <c r="A104" t="s">
        <v>229</v>
      </c>
      <c r="B104" t="s">
        <v>105</v>
      </c>
      <c r="C104" t="s">
        <v>106</v>
      </c>
      <c r="D104" t="s">
        <v>107</v>
      </c>
      <c r="E104" t="s">
        <v>101</v>
      </c>
      <c r="F104" t="s">
        <v>108</v>
      </c>
      <c r="G104" t="s">
        <v>109</v>
      </c>
      <c r="H104" s="1">
        <v>45356</v>
      </c>
      <c r="I104" s="1">
        <v>45359</v>
      </c>
      <c r="J104" s="86">
        <v>4</v>
      </c>
      <c r="K104" s="88">
        <v>47575.06</v>
      </c>
      <c r="L104" s="88">
        <v>48000</v>
      </c>
      <c r="M104" s="1">
        <v>45485</v>
      </c>
      <c r="N104" s="1">
        <v>45484</v>
      </c>
      <c r="O104" s="86">
        <v>4</v>
      </c>
      <c r="P104" t="s">
        <v>32</v>
      </c>
      <c r="Q104">
        <v>1</v>
      </c>
      <c r="R104">
        <v>1</v>
      </c>
      <c r="S104">
        <v>1</v>
      </c>
      <c r="T104" s="89">
        <v>125</v>
      </c>
      <c r="U104">
        <v>2024</v>
      </c>
      <c r="V104" s="90">
        <v>45352</v>
      </c>
      <c r="W104" s="87">
        <v>190300.24</v>
      </c>
      <c r="X104" s="87">
        <v>192000</v>
      </c>
      <c r="Y104" s="87">
        <v>-1699.7600000000093</v>
      </c>
    </row>
    <row r="105" spans="1:25">
      <c r="A105" t="s">
        <v>230</v>
      </c>
      <c r="B105" t="s">
        <v>134</v>
      </c>
      <c r="C105" t="s">
        <v>135</v>
      </c>
      <c r="D105" t="s">
        <v>136</v>
      </c>
      <c r="E105" t="s">
        <v>101</v>
      </c>
      <c r="F105" t="s">
        <v>137</v>
      </c>
      <c r="G105" t="s">
        <v>138</v>
      </c>
      <c r="H105" s="1">
        <v>45363</v>
      </c>
      <c r="I105" s="1">
        <v>45366</v>
      </c>
      <c r="J105" s="86">
        <v>70446.267999999996</v>
      </c>
      <c r="K105" s="88">
        <v>6.5</v>
      </c>
      <c r="L105" s="88">
        <v>6.5</v>
      </c>
      <c r="M105" s="1">
        <v>45422</v>
      </c>
      <c r="N105" s="1">
        <v>45432</v>
      </c>
      <c r="O105" s="86">
        <v>70446.267999999996</v>
      </c>
      <c r="P105" t="s">
        <v>32</v>
      </c>
      <c r="Q105">
        <v>0</v>
      </c>
      <c r="R105">
        <v>1</v>
      </c>
      <c r="S105">
        <v>0</v>
      </c>
      <c r="T105" s="89">
        <v>66</v>
      </c>
      <c r="U105">
        <v>2024</v>
      </c>
      <c r="V105" s="90">
        <v>45352</v>
      </c>
      <c r="W105" s="87">
        <v>457900.74199999997</v>
      </c>
      <c r="X105" s="87">
        <v>457900.74199999997</v>
      </c>
      <c r="Y105" s="87">
        <v>0</v>
      </c>
    </row>
    <row r="106" spans="1:25">
      <c r="A106" t="s">
        <v>231</v>
      </c>
      <c r="B106" t="s">
        <v>73</v>
      </c>
      <c r="C106" t="s">
        <v>74</v>
      </c>
      <c r="D106" t="s">
        <v>43</v>
      </c>
      <c r="E106" t="s">
        <v>37</v>
      </c>
      <c r="F106" t="s">
        <v>70</v>
      </c>
      <c r="G106" t="s">
        <v>71</v>
      </c>
      <c r="H106" s="1">
        <v>45370</v>
      </c>
      <c r="I106" s="1">
        <v>45373</v>
      </c>
      <c r="J106" s="86">
        <v>62707.203000000001</v>
      </c>
      <c r="K106" s="88">
        <v>6.93</v>
      </c>
      <c r="L106" s="88">
        <v>6.8</v>
      </c>
      <c r="M106" s="1">
        <v>45394</v>
      </c>
      <c r="N106" s="1">
        <v>45394</v>
      </c>
      <c r="O106" s="86">
        <v>62707.203000000001</v>
      </c>
      <c r="P106" t="s">
        <v>32</v>
      </c>
      <c r="Q106">
        <v>1</v>
      </c>
      <c r="R106">
        <v>1</v>
      </c>
      <c r="S106">
        <v>1</v>
      </c>
      <c r="T106" s="89">
        <v>21</v>
      </c>
      <c r="U106">
        <v>2024</v>
      </c>
      <c r="V106" s="90">
        <v>45352</v>
      </c>
      <c r="W106" s="87">
        <v>434560.91678999999</v>
      </c>
      <c r="X106" s="87">
        <v>426408.9804</v>
      </c>
      <c r="Y106" s="87">
        <v>8151.9363899999935</v>
      </c>
    </row>
    <row r="107" spans="1:25">
      <c r="A107" t="s">
        <v>232</v>
      </c>
      <c r="B107" t="s">
        <v>92</v>
      </c>
      <c r="C107" t="s">
        <v>93</v>
      </c>
      <c r="D107" t="s">
        <v>94</v>
      </c>
      <c r="E107" t="s">
        <v>56</v>
      </c>
      <c r="F107" t="s">
        <v>95</v>
      </c>
      <c r="G107" t="s">
        <v>96</v>
      </c>
      <c r="H107" s="1">
        <v>45369</v>
      </c>
      <c r="I107" s="1">
        <v>45371</v>
      </c>
      <c r="J107" s="86">
        <v>103.73099999999999</v>
      </c>
      <c r="K107" s="88">
        <v>3862.72</v>
      </c>
      <c r="L107" s="88">
        <v>3900</v>
      </c>
      <c r="M107" s="1">
        <v>45441</v>
      </c>
      <c r="N107" s="1">
        <v>45438</v>
      </c>
      <c r="O107" s="86">
        <v>103.73099999999999</v>
      </c>
      <c r="P107" t="s">
        <v>32</v>
      </c>
      <c r="Q107">
        <v>1</v>
      </c>
      <c r="R107">
        <v>1</v>
      </c>
      <c r="S107">
        <v>1</v>
      </c>
      <c r="T107" s="89">
        <v>67</v>
      </c>
      <c r="U107">
        <v>2024</v>
      </c>
      <c r="V107" s="90">
        <v>45352</v>
      </c>
      <c r="W107" s="87">
        <v>400683.80831999995</v>
      </c>
      <c r="X107" s="87">
        <v>404550.89999999997</v>
      </c>
      <c r="Y107" s="87">
        <v>-3867.0916800000205</v>
      </c>
    </row>
    <row r="108" spans="1:25">
      <c r="A108" t="s">
        <v>233</v>
      </c>
      <c r="B108" t="s">
        <v>117</v>
      </c>
      <c r="C108" t="s">
        <v>118</v>
      </c>
      <c r="D108" t="s">
        <v>119</v>
      </c>
      <c r="E108" t="s">
        <v>120</v>
      </c>
      <c r="F108" t="s">
        <v>121</v>
      </c>
      <c r="G108" t="s">
        <v>122</v>
      </c>
      <c r="H108" s="1">
        <v>45371</v>
      </c>
      <c r="I108" s="1">
        <v>45377</v>
      </c>
      <c r="J108" s="86">
        <v>13793710.411</v>
      </c>
      <c r="K108" s="88">
        <v>4.1000000000000003E-3</v>
      </c>
      <c r="L108" s="88">
        <v>4.0000000000000001E-3</v>
      </c>
      <c r="M108" s="1">
        <v>45412</v>
      </c>
      <c r="N108" s="1">
        <v>45412</v>
      </c>
      <c r="O108" s="86">
        <v>13793710.411</v>
      </c>
      <c r="P108" t="s">
        <v>32</v>
      </c>
      <c r="Q108">
        <v>1</v>
      </c>
      <c r="R108">
        <v>1</v>
      </c>
      <c r="S108">
        <v>1</v>
      </c>
      <c r="T108" s="89">
        <v>35</v>
      </c>
      <c r="U108">
        <v>2024</v>
      </c>
      <c r="V108" s="90">
        <v>45352</v>
      </c>
      <c r="W108" s="87">
        <v>56554.212685100007</v>
      </c>
      <c r="X108" s="87">
        <v>55174.841644</v>
      </c>
      <c r="Y108" s="87">
        <v>1379.3710411000036</v>
      </c>
    </row>
    <row r="109" spans="1:25">
      <c r="A109" t="s">
        <v>234</v>
      </c>
      <c r="B109" t="s">
        <v>124</v>
      </c>
      <c r="C109" t="s">
        <v>125</v>
      </c>
      <c r="D109" t="s">
        <v>119</v>
      </c>
      <c r="E109" t="s">
        <v>126</v>
      </c>
      <c r="F109" t="s">
        <v>121</v>
      </c>
      <c r="G109" t="s">
        <v>122</v>
      </c>
      <c r="H109" s="1">
        <v>45370</v>
      </c>
      <c r="I109" s="1">
        <v>45372</v>
      </c>
      <c r="J109" s="86">
        <v>8031134.9280000003</v>
      </c>
      <c r="K109" s="88">
        <v>0.02</v>
      </c>
      <c r="L109" s="88">
        <v>0.02</v>
      </c>
      <c r="M109" s="1">
        <v>45407</v>
      </c>
      <c r="N109" s="1">
        <v>45404</v>
      </c>
      <c r="O109" s="86">
        <v>8031134.9280000003</v>
      </c>
      <c r="P109" t="s">
        <v>32</v>
      </c>
      <c r="Q109">
        <v>1</v>
      </c>
      <c r="R109">
        <v>1</v>
      </c>
      <c r="S109">
        <v>1</v>
      </c>
      <c r="T109" s="89">
        <v>32</v>
      </c>
      <c r="U109">
        <v>2024</v>
      </c>
      <c r="V109" s="90">
        <v>45352</v>
      </c>
      <c r="W109" s="87">
        <v>160622.69856000002</v>
      </c>
      <c r="X109" s="87">
        <v>160622.69856000002</v>
      </c>
      <c r="Y109" s="87">
        <v>0</v>
      </c>
    </row>
    <row r="110" spans="1:25">
      <c r="A110" t="s">
        <v>235</v>
      </c>
      <c r="B110" t="s">
        <v>140</v>
      </c>
      <c r="C110" t="s">
        <v>141</v>
      </c>
      <c r="D110" t="s">
        <v>142</v>
      </c>
      <c r="E110" t="s">
        <v>84</v>
      </c>
      <c r="F110" t="s">
        <v>143</v>
      </c>
      <c r="G110" t="s">
        <v>144</v>
      </c>
      <c r="H110" s="1">
        <v>45371</v>
      </c>
      <c r="I110" s="1">
        <v>45376</v>
      </c>
      <c r="J110" s="86">
        <v>23025214.454999998</v>
      </c>
      <c r="K110" s="88">
        <v>1.1900000000000001E-2</v>
      </c>
      <c r="L110" s="88">
        <v>1.2E-2</v>
      </c>
      <c r="M110" s="1">
        <v>45390</v>
      </c>
      <c r="N110" s="1">
        <v>45388</v>
      </c>
      <c r="O110" s="86">
        <v>23025214.454999998</v>
      </c>
      <c r="P110" t="s">
        <v>32</v>
      </c>
      <c r="Q110">
        <v>1</v>
      </c>
      <c r="R110">
        <v>1</v>
      </c>
      <c r="S110">
        <v>1</v>
      </c>
      <c r="T110" s="89">
        <v>12</v>
      </c>
      <c r="U110">
        <v>2024</v>
      </c>
      <c r="V110" s="90">
        <v>45352</v>
      </c>
      <c r="W110" s="87">
        <v>274000.05201450002</v>
      </c>
      <c r="X110" s="87">
        <v>276302.57345999999</v>
      </c>
      <c r="Y110" s="87">
        <v>-2302.5214454999859</v>
      </c>
    </row>
    <row r="111" spans="1:25">
      <c r="A111" t="s">
        <v>236</v>
      </c>
      <c r="B111" t="s">
        <v>34</v>
      </c>
      <c r="C111" t="s">
        <v>35</v>
      </c>
      <c r="D111" t="s">
        <v>36</v>
      </c>
      <c r="E111" t="s">
        <v>37</v>
      </c>
      <c r="F111" t="s">
        <v>38</v>
      </c>
      <c r="G111" t="s">
        <v>39</v>
      </c>
      <c r="H111" s="1">
        <v>45376</v>
      </c>
      <c r="I111" s="1">
        <v>45378</v>
      </c>
      <c r="J111" s="86">
        <v>842.57399999999996</v>
      </c>
      <c r="K111" s="88">
        <v>2406.0300000000002</v>
      </c>
      <c r="L111" s="88">
        <v>2400</v>
      </c>
      <c r="M111" s="1">
        <v>45448</v>
      </c>
      <c r="N111" s="1">
        <v>45447</v>
      </c>
      <c r="O111" s="86">
        <v>842.57399999999996</v>
      </c>
      <c r="P111" t="s">
        <v>32</v>
      </c>
      <c r="Q111">
        <v>1</v>
      </c>
      <c r="R111">
        <v>1</v>
      </c>
      <c r="S111">
        <v>1</v>
      </c>
      <c r="T111" s="89">
        <v>69</v>
      </c>
      <c r="U111">
        <v>2024</v>
      </c>
      <c r="V111" s="90">
        <v>45352</v>
      </c>
      <c r="W111" s="87">
        <v>2027258.32122</v>
      </c>
      <c r="X111" s="87">
        <v>2022177.5999999999</v>
      </c>
      <c r="Y111" s="87">
        <v>5080.7212200001686</v>
      </c>
    </row>
    <row r="112" spans="1:25">
      <c r="A112" t="s">
        <v>237</v>
      </c>
      <c r="B112" t="s">
        <v>41</v>
      </c>
      <c r="C112" t="s">
        <v>42</v>
      </c>
      <c r="D112" t="s">
        <v>43</v>
      </c>
      <c r="E112" t="s">
        <v>37</v>
      </c>
      <c r="F112" t="s">
        <v>70</v>
      </c>
      <c r="G112" t="s">
        <v>71</v>
      </c>
      <c r="H112" s="1">
        <v>45376</v>
      </c>
      <c r="I112" s="1">
        <v>45381</v>
      </c>
      <c r="J112" s="86">
        <v>46591.754000000001</v>
      </c>
      <c r="K112" s="88">
        <v>9.7899999999999991</v>
      </c>
      <c r="L112" s="88">
        <v>9.5</v>
      </c>
      <c r="M112" s="1">
        <v>45402</v>
      </c>
      <c r="N112" s="1">
        <v>45411</v>
      </c>
      <c r="O112" s="86">
        <v>46591.754000000001</v>
      </c>
      <c r="P112" t="s">
        <v>32</v>
      </c>
      <c r="Q112">
        <v>0</v>
      </c>
      <c r="R112">
        <v>1</v>
      </c>
      <c r="S112">
        <v>0</v>
      </c>
      <c r="T112" s="89">
        <v>30</v>
      </c>
      <c r="U112">
        <v>2024</v>
      </c>
      <c r="V112" s="90">
        <v>45352</v>
      </c>
      <c r="W112" s="87">
        <v>456133.27165999997</v>
      </c>
      <c r="X112" s="87">
        <v>442621.663</v>
      </c>
      <c r="Y112" s="87">
        <v>13511.60865999996</v>
      </c>
    </row>
    <row r="113" spans="1:25">
      <c r="A113" t="s">
        <v>238</v>
      </c>
      <c r="B113" t="s">
        <v>47</v>
      </c>
      <c r="C113" t="s">
        <v>48</v>
      </c>
      <c r="D113" t="s">
        <v>49</v>
      </c>
      <c r="E113" t="s">
        <v>50</v>
      </c>
      <c r="F113" t="s">
        <v>51</v>
      </c>
      <c r="G113" t="s">
        <v>52</v>
      </c>
      <c r="H113" s="1">
        <v>45377</v>
      </c>
      <c r="I113" s="1">
        <v>45379</v>
      </c>
      <c r="J113" s="86">
        <v>156.12</v>
      </c>
      <c r="K113" s="88">
        <v>1850.1</v>
      </c>
      <c r="L113" s="88">
        <v>1850</v>
      </c>
      <c r="M113" s="1">
        <v>45435</v>
      </c>
      <c r="N113" s="1">
        <v>45433</v>
      </c>
      <c r="O113" s="86">
        <v>156.12</v>
      </c>
      <c r="P113" t="s">
        <v>32</v>
      </c>
      <c r="Q113">
        <v>1</v>
      </c>
      <c r="R113">
        <v>1</v>
      </c>
      <c r="S113">
        <v>1</v>
      </c>
      <c r="T113" s="89">
        <v>54</v>
      </c>
      <c r="U113">
        <v>2024</v>
      </c>
      <c r="V113" s="90">
        <v>45352</v>
      </c>
      <c r="W113" s="87">
        <v>288837.61200000002</v>
      </c>
      <c r="X113" s="87">
        <v>288822</v>
      </c>
      <c r="Y113" s="87">
        <v>15.611999999985802</v>
      </c>
    </row>
    <row r="114" spans="1:25">
      <c r="A114" t="s">
        <v>239</v>
      </c>
      <c r="B114" t="s">
        <v>105</v>
      </c>
      <c r="C114" t="s">
        <v>106</v>
      </c>
      <c r="D114" t="s">
        <v>107</v>
      </c>
      <c r="E114" t="s">
        <v>101</v>
      </c>
      <c r="F114" t="s">
        <v>108</v>
      </c>
      <c r="G114" t="s">
        <v>109</v>
      </c>
      <c r="H114" s="1">
        <v>45377</v>
      </c>
      <c r="I114" s="1">
        <v>45379</v>
      </c>
      <c r="J114" s="86">
        <v>4</v>
      </c>
      <c r="K114" s="88">
        <v>48816.44</v>
      </c>
      <c r="L114" s="88">
        <v>48000</v>
      </c>
      <c r="M114" s="1">
        <v>45505</v>
      </c>
      <c r="N114" s="1">
        <v>45502</v>
      </c>
      <c r="O114" s="86">
        <v>4</v>
      </c>
      <c r="P114" t="s">
        <v>32</v>
      </c>
      <c r="Q114">
        <v>1</v>
      </c>
      <c r="R114">
        <v>1</v>
      </c>
      <c r="S114">
        <v>1</v>
      </c>
      <c r="T114" s="89">
        <v>123</v>
      </c>
      <c r="U114">
        <v>2024</v>
      </c>
      <c r="V114" s="90">
        <v>45352</v>
      </c>
      <c r="W114" s="87">
        <v>195265.76</v>
      </c>
      <c r="X114" s="87">
        <v>192000</v>
      </c>
      <c r="Y114" s="87">
        <v>3265.7600000000093</v>
      </c>
    </row>
    <row r="115" spans="1:25">
      <c r="A115" t="s">
        <v>240</v>
      </c>
      <c r="B115" t="s">
        <v>111</v>
      </c>
      <c r="C115" t="s">
        <v>112</v>
      </c>
      <c r="D115" t="s">
        <v>113</v>
      </c>
      <c r="E115" t="s">
        <v>84</v>
      </c>
      <c r="F115" t="s">
        <v>114</v>
      </c>
      <c r="G115" t="s">
        <v>115</v>
      </c>
      <c r="H115" s="1">
        <v>45378</v>
      </c>
      <c r="I115" s="1">
        <v>45379</v>
      </c>
      <c r="J115" s="86">
        <v>25577144.577</v>
      </c>
      <c r="K115" s="88">
        <v>0.112</v>
      </c>
      <c r="L115" s="88">
        <v>0.11</v>
      </c>
      <c r="M115" s="1">
        <v>45449</v>
      </c>
      <c r="N115" s="1">
        <v>45447</v>
      </c>
      <c r="O115" s="86">
        <v>25577144.577</v>
      </c>
      <c r="P115" t="s">
        <v>32</v>
      </c>
      <c r="Q115">
        <v>1</v>
      </c>
      <c r="R115">
        <v>1</v>
      </c>
      <c r="S115">
        <v>1</v>
      </c>
      <c r="T115" s="89">
        <v>68</v>
      </c>
      <c r="U115">
        <v>2024</v>
      </c>
      <c r="V115" s="90">
        <v>45352</v>
      </c>
      <c r="W115" s="87">
        <v>2864640.1926239999</v>
      </c>
      <c r="X115" s="87">
        <v>2813485.9034699998</v>
      </c>
      <c r="Y115" s="87">
        <v>51154.289154000042</v>
      </c>
    </row>
    <row r="116" spans="1:25">
      <c r="A116" t="s">
        <v>241</v>
      </c>
      <c r="B116" t="s">
        <v>76</v>
      </c>
      <c r="C116" t="s">
        <v>77</v>
      </c>
      <c r="D116" t="s">
        <v>78</v>
      </c>
      <c r="E116" t="s">
        <v>37</v>
      </c>
      <c r="F116" t="s">
        <v>79</v>
      </c>
      <c r="G116" t="s">
        <v>80</v>
      </c>
      <c r="H116" s="1">
        <v>45383</v>
      </c>
      <c r="I116" s="1">
        <v>45387</v>
      </c>
      <c r="J116" s="86">
        <v>14411.787</v>
      </c>
      <c r="K116" s="88">
        <v>38.36</v>
      </c>
      <c r="L116" s="88">
        <v>38</v>
      </c>
      <c r="M116" s="1">
        <v>45422</v>
      </c>
      <c r="N116" s="1">
        <v>45420</v>
      </c>
      <c r="O116" s="86">
        <v>14411.787</v>
      </c>
      <c r="P116" t="s">
        <v>32</v>
      </c>
      <c r="Q116">
        <v>1</v>
      </c>
      <c r="R116">
        <v>1</v>
      </c>
      <c r="S116">
        <v>1</v>
      </c>
      <c r="T116" s="89">
        <v>33</v>
      </c>
      <c r="U116">
        <v>2024</v>
      </c>
      <c r="V116" s="90">
        <v>45383</v>
      </c>
      <c r="W116" s="87">
        <v>552836.14931999997</v>
      </c>
      <c r="X116" s="87">
        <v>547647.90599999996</v>
      </c>
      <c r="Y116" s="87">
        <v>5188.2433199999923</v>
      </c>
    </row>
    <row r="117" spans="1:25">
      <c r="A117" t="s">
        <v>242</v>
      </c>
      <c r="B117" t="s">
        <v>82</v>
      </c>
      <c r="C117" t="s">
        <v>83</v>
      </c>
      <c r="D117" t="s">
        <v>78</v>
      </c>
      <c r="E117" t="s">
        <v>84</v>
      </c>
      <c r="F117" t="s">
        <v>79</v>
      </c>
      <c r="G117" t="s">
        <v>80</v>
      </c>
      <c r="H117" s="1">
        <v>45383</v>
      </c>
      <c r="I117" s="1">
        <v>45385</v>
      </c>
      <c r="J117" s="86">
        <v>345.11099999999999</v>
      </c>
      <c r="K117" s="88">
        <v>517.41999999999996</v>
      </c>
      <c r="L117" s="88">
        <v>520</v>
      </c>
      <c r="M117" s="1">
        <v>45420</v>
      </c>
      <c r="N117" s="1">
        <v>45418</v>
      </c>
      <c r="O117" s="86">
        <v>345.11099999999999</v>
      </c>
      <c r="P117" t="s">
        <v>32</v>
      </c>
      <c r="Q117">
        <v>1</v>
      </c>
      <c r="R117">
        <v>1</v>
      </c>
      <c r="S117">
        <v>1</v>
      </c>
      <c r="T117" s="89">
        <v>33</v>
      </c>
      <c r="U117">
        <v>2024</v>
      </c>
      <c r="V117" s="90">
        <v>45383</v>
      </c>
      <c r="W117" s="87">
        <v>178567.33361999999</v>
      </c>
      <c r="X117" s="87">
        <v>179457.72</v>
      </c>
      <c r="Y117" s="87">
        <v>-890.38638000001413</v>
      </c>
    </row>
    <row r="118" spans="1:25">
      <c r="A118" t="s">
        <v>243</v>
      </c>
      <c r="B118" t="s">
        <v>26</v>
      </c>
      <c r="C118" t="s">
        <v>27</v>
      </c>
      <c r="D118" t="s">
        <v>28</v>
      </c>
      <c r="E118" t="s">
        <v>29</v>
      </c>
      <c r="F118" t="s">
        <v>149</v>
      </c>
      <c r="G118" t="s">
        <v>150</v>
      </c>
      <c r="H118" s="1">
        <v>45390</v>
      </c>
      <c r="I118" s="1">
        <v>45391</v>
      </c>
      <c r="J118" s="86">
        <v>28764.42</v>
      </c>
      <c r="K118" s="88">
        <v>117.74</v>
      </c>
      <c r="L118" s="88">
        <v>118</v>
      </c>
      <c r="M118" s="1">
        <v>45433</v>
      </c>
      <c r="N118" s="1">
        <v>45441</v>
      </c>
      <c r="O118" s="86">
        <v>28764.42</v>
      </c>
      <c r="P118" t="s">
        <v>32</v>
      </c>
      <c r="Q118">
        <v>0</v>
      </c>
      <c r="R118">
        <v>1</v>
      </c>
      <c r="S118">
        <v>0</v>
      </c>
      <c r="T118" s="89">
        <v>50</v>
      </c>
      <c r="U118">
        <v>2024</v>
      </c>
      <c r="V118" s="90">
        <v>45383</v>
      </c>
      <c r="W118" s="87">
        <v>3386722.8107999996</v>
      </c>
      <c r="X118" s="87">
        <v>3394201.5599999996</v>
      </c>
      <c r="Y118" s="87">
        <v>-7478.7492000001466</v>
      </c>
    </row>
    <row r="119" spans="1:25">
      <c r="A119" t="s">
        <v>244</v>
      </c>
      <c r="B119" t="s">
        <v>54</v>
      </c>
      <c r="C119" t="s">
        <v>55</v>
      </c>
      <c r="D119" t="s">
        <v>49</v>
      </c>
      <c r="E119" t="s">
        <v>56</v>
      </c>
      <c r="F119" t="s">
        <v>57</v>
      </c>
      <c r="G119" t="s">
        <v>58</v>
      </c>
      <c r="H119" s="1">
        <v>45392</v>
      </c>
      <c r="I119" s="1">
        <v>45395</v>
      </c>
      <c r="J119" s="86">
        <v>25876.421999999999</v>
      </c>
      <c r="K119" s="88">
        <v>28.68</v>
      </c>
      <c r="L119" s="88">
        <v>28</v>
      </c>
      <c r="M119" s="1">
        <v>45437</v>
      </c>
      <c r="N119" s="1">
        <v>45434</v>
      </c>
      <c r="O119" s="86">
        <v>25876.421999999999</v>
      </c>
      <c r="P119" t="s">
        <v>32</v>
      </c>
      <c r="Q119">
        <v>1</v>
      </c>
      <c r="R119">
        <v>1</v>
      </c>
      <c r="S119">
        <v>1</v>
      </c>
      <c r="T119" s="89">
        <v>39</v>
      </c>
      <c r="U119">
        <v>2024</v>
      </c>
      <c r="V119" s="90">
        <v>45383</v>
      </c>
      <c r="W119" s="87">
        <v>742135.78295999998</v>
      </c>
      <c r="X119" s="87">
        <v>724539.81599999999</v>
      </c>
      <c r="Y119" s="87">
        <v>17595.966959999991</v>
      </c>
    </row>
    <row r="120" spans="1:25">
      <c r="A120" t="s">
        <v>245</v>
      </c>
      <c r="B120" t="s">
        <v>60</v>
      </c>
      <c r="C120" t="s">
        <v>61</v>
      </c>
      <c r="D120" t="s">
        <v>49</v>
      </c>
      <c r="E120" t="s">
        <v>56</v>
      </c>
      <c r="F120" t="s">
        <v>57</v>
      </c>
      <c r="G120" t="s">
        <v>58</v>
      </c>
      <c r="H120" s="1">
        <v>45392</v>
      </c>
      <c r="I120" s="1">
        <v>45396</v>
      </c>
      <c r="J120" s="86">
        <v>2300.866</v>
      </c>
      <c r="K120" s="88">
        <v>411.19</v>
      </c>
      <c r="L120" s="88">
        <v>410</v>
      </c>
      <c r="M120" s="1">
        <v>45438</v>
      </c>
      <c r="N120" s="1">
        <v>45441</v>
      </c>
      <c r="O120" s="86">
        <v>2300.866</v>
      </c>
      <c r="P120" t="s">
        <v>32</v>
      </c>
      <c r="Q120">
        <v>0</v>
      </c>
      <c r="R120">
        <v>1</v>
      </c>
      <c r="S120">
        <v>0</v>
      </c>
      <c r="T120" s="89">
        <v>45</v>
      </c>
      <c r="U120">
        <v>2024</v>
      </c>
      <c r="V120" s="90">
        <v>45383</v>
      </c>
      <c r="W120" s="87">
        <v>946093.09054</v>
      </c>
      <c r="X120" s="87">
        <v>943355.05999999994</v>
      </c>
      <c r="Y120" s="87">
        <v>2738.0305399999947</v>
      </c>
    </row>
    <row r="121" spans="1:25">
      <c r="A121" t="s">
        <v>246</v>
      </c>
      <c r="B121" t="s">
        <v>63</v>
      </c>
      <c r="C121" t="s">
        <v>64</v>
      </c>
      <c r="D121" t="s">
        <v>49</v>
      </c>
      <c r="E121" t="s">
        <v>56</v>
      </c>
      <c r="F121" t="s">
        <v>65</v>
      </c>
      <c r="G121" t="s">
        <v>66</v>
      </c>
      <c r="H121" s="1">
        <v>45392</v>
      </c>
      <c r="I121" s="1">
        <v>45395</v>
      </c>
      <c r="J121" s="86">
        <v>3451.68</v>
      </c>
      <c r="K121" s="88">
        <v>157.18</v>
      </c>
      <c r="L121" s="88">
        <v>160</v>
      </c>
      <c r="M121" s="1">
        <v>45423</v>
      </c>
      <c r="N121" s="1">
        <v>45422</v>
      </c>
      <c r="O121" s="86">
        <v>2877.1480000000001</v>
      </c>
      <c r="P121" t="s">
        <v>32</v>
      </c>
      <c r="Q121">
        <v>1</v>
      </c>
      <c r="R121">
        <v>0</v>
      </c>
      <c r="S121">
        <v>0</v>
      </c>
      <c r="T121" s="89">
        <v>27</v>
      </c>
      <c r="U121">
        <v>2024</v>
      </c>
      <c r="V121" s="90">
        <v>45383</v>
      </c>
      <c r="W121" s="87">
        <v>452230.12264000002</v>
      </c>
      <c r="X121" s="87">
        <v>460343.68000000005</v>
      </c>
      <c r="Y121" s="87">
        <v>-8113.5573599999807</v>
      </c>
    </row>
    <row r="122" spans="1:25">
      <c r="A122" t="s">
        <v>247</v>
      </c>
      <c r="B122" t="s">
        <v>68</v>
      </c>
      <c r="C122" t="s">
        <v>69</v>
      </c>
      <c r="D122" t="s">
        <v>43</v>
      </c>
      <c r="E122" t="s">
        <v>37</v>
      </c>
      <c r="F122" t="s">
        <v>70</v>
      </c>
      <c r="G122" t="s">
        <v>71</v>
      </c>
      <c r="H122" s="1">
        <v>45391</v>
      </c>
      <c r="I122" s="1">
        <v>45394</v>
      </c>
      <c r="J122" s="86">
        <v>172512.00899999999</v>
      </c>
      <c r="K122" s="88">
        <v>4.24</v>
      </c>
      <c r="L122" s="88">
        <v>4.2</v>
      </c>
      <c r="M122" s="1">
        <v>45415</v>
      </c>
      <c r="N122" s="1">
        <v>45413</v>
      </c>
      <c r="O122" s="86">
        <v>172512.00899999999</v>
      </c>
      <c r="P122" t="s">
        <v>32</v>
      </c>
      <c r="Q122">
        <v>1</v>
      </c>
      <c r="R122">
        <v>1</v>
      </c>
      <c r="S122">
        <v>1</v>
      </c>
      <c r="T122" s="89">
        <v>19</v>
      </c>
      <c r="U122">
        <v>2024</v>
      </c>
      <c r="V122" s="90">
        <v>45383</v>
      </c>
      <c r="W122" s="87">
        <v>731450.91816</v>
      </c>
      <c r="X122" s="87">
        <v>724550.43779999996</v>
      </c>
      <c r="Y122" s="87">
        <v>6900.4803600000059</v>
      </c>
    </row>
    <row r="123" spans="1:25">
      <c r="A123" t="s">
        <v>248</v>
      </c>
      <c r="B123" t="s">
        <v>86</v>
      </c>
      <c r="C123" t="s">
        <v>87</v>
      </c>
      <c r="D123" t="s">
        <v>88</v>
      </c>
      <c r="E123" t="s">
        <v>84</v>
      </c>
      <c r="F123" t="s">
        <v>89</v>
      </c>
      <c r="G123" t="s">
        <v>90</v>
      </c>
      <c r="H123" s="1">
        <v>45390</v>
      </c>
      <c r="I123" s="1">
        <v>45393</v>
      </c>
      <c r="J123" s="86">
        <v>17.25</v>
      </c>
      <c r="K123" s="88">
        <v>9659.4</v>
      </c>
      <c r="L123" s="88">
        <v>9500</v>
      </c>
      <c r="M123" s="1">
        <v>45456</v>
      </c>
      <c r="N123" s="1">
        <v>45454</v>
      </c>
      <c r="O123" s="86">
        <v>17.25</v>
      </c>
      <c r="P123" t="s">
        <v>32</v>
      </c>
      <c r="Q123">
        <v>1</v>
      </c>
      <c r="R123">
        <v>1</v>
      </c>
      <c r="S123">
        <v>1</v>
      </c>
      <c r="T123" s="89">
        <v>61</v>
      </c>
      <c r="U123">
        <v>2024</v>
      </c>
      <c r="V123" s="90">
        <v>45383</v>
      </c>
      <c r="W123" s="87">
        <v>166624.65</v>
      </c>
      <c r="X123" s="87">
        <v>163875</v>
      </c>
      <c r="Y123" s="87">
        <v>2749.6499999999937</v>
      </c>
    </row>
    <row r="124" spans="1:25">
      <c r="A124" t="s">
        <v>249</v>
      </c>
      <c r="B124" t="s">
        <v>98</v>
      </c>
      <c r="C124" t="s">
        <v>99</v>
      </c>
      <c r="D124" t="s">
        <v>100</v>
      </c>
      <c r="E124" t="s">
        <v>101</v>
      </c>
      <c r="F124" t="s">
        <v>102</v>
      </c>
      <c r="G124" t="s">
        <v>103</v>
      </c>
      <c r="H124" s="1">
        <v>45392</v>
      </c>
      <c r="I124" s="1">
        <v>45397</v>
      </c>
      <c r="J124" s="86">
        <v>23</v>
      </c>
      <c r="K124" s="88">
        <v>6315.7</v>
      </c>
      <c r="L124" s="88">
        <v>6200</v>
      </c>
      <c r="M124" s="1">
        <v>45446</v>
      </c>
      <c r="N124" s="1">
        <v>45443</v>
      </c>
      <c r="O124" s="86">
        <v>23</v>
      </c>
      <c r="P124" t="s">
        <v>32</v>
      </c>
      <c r="Q124">
        <v>1</v>
      </c>
      <c r="R124">
        <v>1</v>
      </c>
      <c r="S124">
        <v>1</v>
      </c>
      <c r="T124" s="89">
        <v>46</v>
      </c>
      <c r="U124">
        <v>2024</v>
      </c>
      <c r="V124" s="90">
        <v>45383</v>
      </c>
      <c r="W124" s="87">
        <v>145261.1</v>
      </c>
      <c r="X124" s="87">
        <v>142600</v>
      </c>
      <c r="Y124" s="87">
        <v>2661.0999999999958</v>
      </c>
    </row>
    <row r="125" spans="1:25">
      <c r="A125" t="s">
        <v>250</v>
      </c>
      <c r="B125" t="s">
        <v>134</v>
      </c>
      <c r="C125" t="s">
        <v>135</v>
      </c>
      <c r="D125" t="s">
        <v>136</v>
      </c>
      <c r="E125" t="s">
        <v>101</v>
      </c>
      <c r="F125" t="s">
        <v>137</v>
      </c>
      <c r="G125" t="s">
        <v>138</v>
      </c>
      <c r="H125" s="1">
        <v>45398</v>
      </c>
      <c r="I125" s="1">
        <v>45401</v>
      </c>
      <c r="J125" s="86">
        <v>68279.320999999996</v>
      </c>
      <c r="K125" s="88">
        <v>6.52</v>
      </c>
      <c r="L125" s="88">
        <v>6.5</v>
      </c>
      <c r="M125" s="1">
        <v>45457</v>
      </c>
      <c r="N125" s="1">
        <v>45456</v>
      </c>
      <c r="O125" s="86">
        <v>68279.320999999996</v>
      </c>
      <c r="P125" t="s">
        <v>32</v>
      </c>
      <c r="Q125">
        <v>1</v>
      </c>
      <c r="R125">
        <v>1</v>
      </c>
      <c r="S125">
        <v>1</v>
      </c>
      <c r="T125" s="89">
        <v>55</v>
      </c>
      <c r="U125">
        <v>2024</v>
      </c>
      <c r="V125" s="90">
        <v>45383</v>
      </c>
      <c r="W125" s="87">
        <v>445181.17291999992</v>
      </c>
      <c r="X125" s="87">
        <v>443815.58649999998</v>
      </c>
      <c r="Y125" s="87">
        <v>1365.5864199999708</v>
      </c>
    </row>
    <row r="126" spans="1:25">
      <c r="A126" t="s">
        <v>251</v>
      </c>
      <c r="B126" t="s">
        <v>73</v>
      </c>
      <c r="C126" t="s">
        <v>74</v>
      </c>
      <c r="D126" t="s">
        <v>43</v>
      </c>
      <c r="E126" t="s">
        <v>37</v>
      </c>
      <c r="F126" t="s">
        <v>70</v>
      </c>
      <c r="G126" t="s">
        <v>71</v>
      </c>
      <c r="H126" s="1">
        <v>45405</v>
      </c>
      <c r="I126" s="1">
        <v>45407</v>
      </c>
      <c r="J126" s="86">
        <v>60002.6</v>
      </c>
      <c r="K126" s="88">
        <v>6.87</v>
      </c>
      <c r="L126" s="88">
        <v>6.8</v>
      </c>
      <c r="M126" s="1">
        <v>45428</v>
      </c>
      <c r="N126" s="1">
        <v>45426</v>
      </c>
      <c r="O126" s="86">
        <v>60002.6</v>
      </c>
      <c r="P126" t="s">
        <v>32</v>
      </c>
      <c r="Q126">
        <v>1</v>
      </c>
      <c r="R126">
        <v>1</v>
      </c>
      <c r="S126">
        <v>1</v>
      </c>
      <c r="T126" s="89">
        <v>19</v>
      </c>
      <c r="U126">
        <v>2024</v>
      </c>
      <c r="V126" s="90">
        <v>45383</v>
      </c>
      <c r="W126" s="87">
        <v>412217.86200000002</v>
      </c>
      <c r="X126" s="87">
        <v>408017.68</v>
      </c>
      <c r="Y126" s="87">
        <v>4200.1820000000171</v>
      </c>
    </row>
    <row r="127" spans="1:25">
      <c r="A127" t="s">
        <v>252</v>
      </c>
      <c r="B127" t="s">
        <v>92</v>
      </c>
      <c r="C127" t="s">
        <v>93</v>
      </c>
      <c r="D127" t="s">
        <v>94</v>
      </c>
      <c r="E127" t="s">
        <v>56</v>
      </c>
      <c r="F127" t="s">
        <v>95</v>
      </c>
      <c r="G127" t="s">
        <v>96</v>
      </c>
      <c r="H127" s="1">
        <v>45406</v>
      </c>
      <c r="I127" s="1">
        <v>45409</v>
      </c>
      <c r="J127" s="86">
        <v>96.171999999999997</v>
      </c>
      <c r="K127" s="88">
        <v>3863.53</v>
      </c>
      <c r="L127" s="88">
        <v>3900</v>
      </c>
      <c r="M127" s="1">
        <v>45479</v>
      </c>
      <c r="N127" s="1">
        <v>45476</v>
      </c>
      <c r="O127" s="86">
        <v>96.171999999999997</v>
      </c>
      <c r="P127" t="s">
        <v>32</v>
      </c>
      <c r="Q127">
        <v>1</v>
      </c>
      <c r="R127">
        <v>1</v>
      </c>
      <c r="S127">
        <v>1</v>
      </c>
      <c r="T127" s="89">
        <v>67</v>
      </c>
      <c r="U127">
        <v>2024</v>
      </c>
      <c r="V127" s="90">
        <v>45383</v>
      </c>
      <c r="W127" s="87">
        <v>371563.40716</v>
      </c>
      <c r="X127" s="87">
        <v>375070.8</v>
      </c>
      <c r="Y127" s="87">
        <v>-3507.3928399999804</v>
      </c>
    </row>
    <row r="128" spans="1:25">
      <c r="A128" t="s">
        <v>253</v>
      </c>
      <c r="B128" t="s">
        <v>117</v>
      </c>
      <c r="C128" t="s">
        <v>118</v>
      </c>
      <c r="D128" t="s">
        <v>119</v>
      </c>
      <c r="E128" t="s">
        <v>120</v>
      </c>
      <c r="F128" t="s">
        <v>121</v>
      </c>
      <c r="G128" t="s">
        <v>122</v>
      </c>
      <c r="H128" s="1">
        <v>45406</v>
      </c>
      <c r="I128" s="1">
        <v>45408</v>
      </c>
      <c r="J128" s="86">
        <v>13891425.560000001</v>
      </c>
      <c r="K128" s="88">
        <v>4.0000000000000001E-3</v>
      </c>
      <c r="L128" s="88">
        <v>4.0000000000000001E-3</v>
      </c>
      <c r="M128" s="1">
        <v>45443</v>
      </c>
      <c r="N128" s="1">
        <v>45440</v>
      </c>
      <c r="O128" s="86">
        <v>13891425.560000001</v>
      </c>
      <c r="P128" t="s">
        <v>32</v>
      </c>
      <c r="Q128">
        <v>1</v>
      </c>
      <c r="R128">
        <v>1</v>
      </c>
      <c r="S128">
        <v>1</v>
      </c>
      <c r="T128" s="89">
        <v>32</v>
      </c>
      <c r="U128">
        <v>2024</v>
      </c>
      <c r="V128" s="90">
        <v>45383</v>
      </c>
      <c r="W128" s="87">
        <v>55565.702240000006</v>
      </c>
      <c r="X128" s="87">
        <v>55565.702240000006</v>
      </c>
      <c r="Y128" s="87">
        <v>0</v>
      </c>
    </row>
    <row r="129" spans="1:25">
      <c r="A129" t="s">
        <v>254</v>
      </c>
      <c r="B129" t="s">
        <v>124</v>
      </c>
      <c r="C129" t="s">
        <v>125</v>
      </c>
      <c r="D129" t="s">
        <v>119</v>
      </c>
      <c r="E129" t="s">
        <v>126</v>
      </c>
      <c r="F129" t="s">
        <v>121</v>
      </c>
      <c r="G129" t="s">
        <v>122</v>
      </c>
      <c r="H129" s="1">
        <v>45405</v>
      </c>
      <c r="I129" s="1">
        <v>45408</v>
      </c>
      <c r="J129" s="86">
        <v>8110212.733</v>
      </c>
      <c r="K129" s="88">
        <v>2.07E-2</v>
      </c>
      <c r="L129" s="88">
        <v>0.02</v>
      </c>
      <c r="M129" s="1">
        <v>45443</v>
      </c>
      <c r="N129" s="1">
        <v>45457</v>
      </c>
      <c r="O129" s="86">
        <v>8110212.733</v>
      </c>
      <c r="P129" t="s">
        <v>32</v>
      </c>
      <c r="Q129">
        <v>0</v>
      </c>
      <c r="R129">
        <v>1</v>
      </c>
      <c r="S129">
        <v>0</v>
      </c>
      <c r="T129" s="89">
        <v>49</v>
      </c>
      <c r="U129">
        <v>2024</v>
      </c>
      <c r="V129" s="90">
        <v>45383</v>
      </c>
      <c r="W129" s="87">
        <v>167881.40357309999</v>
      </c>
      <c r="X129" s="87">
        <v>162204.25466000001</v>
      </c>
      <c r="Y129" s="87">
        <v>5677.1489130999935</v>
      </c>
    </row>
    <row r="130" spans="1:25">
      <c r="A130" t="s">
        <v>255</v>
      </c>
      <c r="B130" t="s">
        <v>140</v>
      </c>
      <c r="C130" t="s">
        <v>141</v>
      </c>
      <c r="D130" t="s">
        <v>142</v>
      </c>
      <c r="E130" t="s">
        <v>84</v>
      </c>
      <c r="F130" t="s">
        <v>143</v>
      </c>
      <c r="G130" t="s">
        <v>144</v>
      </c>
      <c r="H130" s="1">
        <v>45406</v>
      </c>
      <c r="I130" s="1">
        <v>45411</v>
      </c>
      <c r="J130" s="86">
        <v>23223426.802999999</v>
      </c>
      <c r="K130" s="88">
        <v>1.23E-2</v>
      </c>
      <c r="L130" s="88">
        <v>1.2E-2</v>
      </c>
      <c r="M130" s="1">
        <v>45425</v>
      </c>
      <c r="N130" s="1">
        <v>45422</v>
      </c>
      <c r="O130" s="86">
        <v>23223426.802999999</v>
      </c>
      <c r="P130" t="s">
        <v>32</v>
      </c>
      <c r="Q130">
        <v>1</v>
      </c>
      <c r="R130">
        <v>1</v>
      </c>
      <c r="S130">
        <v>1</v>
      </c>
      <c r="T130" s="89">
        <v>11</v>
      </c>
      <c r="U130">
        <v>2024</v>
      </c>
      <c r="V130" s="90">
        <v>45383</v>
      </c>
      <c r="W130" s="87">
        <v>285648.14967690001</v>
      </c>
      <c r="X130" s="87">
        <v>278681.121636</v>
      </c>
      <c r="Y130" s="87">
        <v>6967.0280408999979</v>
      </c>
    </row>
    <row r="131" spans="1:25">
      <c r="A131" t="s">
        <v>256</v>
      </c>
      <c r="B131" t="s">
        <v>34</v>
      </c>
      <c r="C131" t="s">
        <v>35</v>
      </c>
      <c r="D131" t="s">
        <v>36</v>
      </c>
      <c r="E131" t="s">
        <v>37</v>
      </c>
      <c r="F131" t="s">
        <v>38</v>
      </c>
      <c r="G131" t="s">
        <v>39</v>
      </c>
      <c r="H131" s="1">
        <v>45412</v>
      </c>
      <c r="I131" s="1">
        <v>45417</v>
      </c>
      <c r="J131" s="86">
        <v>840.65599999999995</v>
      </c>
      <c r="K131" s="88">
        <v>2446.73</v>
      </c>
      <c r="L131" s="88">
        <v>2400</v>
      </c>
      <c r="M131" s="1">
        <v>45487</v>
      </c>
      <c r="N131" s="1">
        <v>45495</v>
      </c>
      <c r="O131" s="86">
        <v>840.65599999999995</v>
      </c>
      <c r="P131" t="s">
        <v>32</v>
      </c>
      <c r="Q131">
        <v>0</v>
      </c>
      <c r="R131">
        <v>1</v>
      </c>
      <c r="S131">
        <v>0</v>
      </c>
      <c r="T131" s="89">
        <v>78</v>
      </c>
      <c r="U131">
        <v>2024</v>
      </c>
      <c r="V131" s="90">
        <v>45413</v>
      </c>
      <c r="W131" s="87">
        <v>2056858.2548799999</v>
      </c>
      <c r="X131" s="87">
        <v>2017574.4</v>
      </c>
      <c r="Y131" s="87">
        <v>39283.854880000014</v>
      </c>
    </row>
    <row r="132" spans="1:25">
      <c r="A132" t="s">
        <v>257</v>
      </c>
      <c r="B132" t="s">
        <v>41</v>
      </c>
      <c r="C132" t="s">
        <v>42</v>
      </c>
      <c r="D132" t="s">
        <v>43</v>
      </c>
      <c r="E132" t="s">
        <v>37</v>
      </c>
      <c r="F132" t="s">
        <v>44</v>
      </c>
      <c r="G132" t="s">
        <v>45</v>
      </c>
      <c r="H132" s="1">
        <v>45411</v>
      </c>
      <c r="I132" s="1">
        <v>45413</v>
      </c>
      <c r="J132" s="86">
        <v>43265.110999999997</v>
      </c>
      <c r="K132" s="88">
        <v>9.69</v>
      </c>
      <c r="L132" s="88">
        <v>9.5</v>
      </c>
      <c r="M132" s="1">
        <v>45434</v>
      </c>
      <c r="N132" s="1">
        <v>45432</v>
      </c>
      <c r="O132" s="86">
        <v>43265.110999999997</v>
      </c>
      <c r="P132" t="s">
        <v>32</v>
      </c>
      <c r="Q132">
        <v>1</v>
      </c>
      <c r="R132">
        <v>1</v>
      </c>
      <c r="S132">
        <v>1</v>
      </c>
      <c r="T132" s="89">
        <v>19</v>
      </c>
      <c r="U132">
        <v>2024</v>
      </c>
      <c r="V132" s="90">
        <v>45413</v>
      </c>
      <c r="W132" s="87">
        <v>419238.92558999994</v>
      </c>
      <c r="X132" s="87">
        <v>411018.55449999997</v>
      </c>
      <c r="Y132" s="87">
        <v>8220.3710899999787</v>
      </c>
    </row>
    <row r="133" spans="1:25">
      <c r="A133" t="s">
        <v>258</v>
      </c>
      <c r="B133" t="s">
        <v>47</v>
      </c>
      <c r="C133" t="s">
        <v>48</v>
      </c>
      <c r="D133" t="s">
        <v>49</v>
      </c>
      <c r="E133" t="s">
        <v>50</v>
      </c>
      <c r="F133" t="s">
        <v>51</v>
      </c>
      <c r="G133" t="s">
        <v>52</v>
      </c>
      <c r="H133" s="1">
        <v>45411</v>
      </c>
      <c r="I133" s="1">
        <v>45413</v>
      </c>
      <c r="J133" s="86">
        <v>144</v>
      </c>
      <c r="K133" s="88">
        <v>1838.32</v>
      </c>
      <c r="L133" s="88">
        <v>1850</v>
      </c>
      <c r="M133" s="1">
        <v>45469</v>
      </c>
      <c r="N133" s="1">
        <v>45467</v>
      </c>
      <c r="O133" s="86">
        <v>144</v>
      </c>
      <c r="P133" t="s">
        <v>32</v>
      </c>
      <c r="Q133">
        <v>1</v>
      </c>
      <c r="R133">
        <v>1</v>
      </c>
      <c r="S133">
        <v>1</v>
      </c>
      <c r="T133" s="89">
        <v>54</v>
      </c>
      <c r="U133">
        <v>2024</v>
      </c>
      <c r="V133" s="90">
        <v>45413</v>
      </c>
      <c r="W133" s="87">
        <v>264718.08000000002</v>
      </c>
      <c r="X133" s="87">
        <v>266400</v>
      </c>
      <c r="Y133" s="87">
        <v>-1681.9200000000092</v>
      </c>
    </row>
    <row r="134" spans="1:25">
      <c r="A134" t="s">
        <v>259</v>
      </c>
      <c r="B134" t="s">
        <v>105</v>
      </c>
      <c r="C134" t="s">
        <v>106</v>
      </c>
      <c r="D134" t="s">
        <v>107</v>
      </c>
      <c r="E134" t="s">
        <v>101</v>
      </c>
      <c r="F134" t="s">
        <v>108</v>
      </c>
      <c r="G134" t="s">
        <v>109</v>
      </c>
      <c r="H134" s="1">
        <v>45412</v>
      </c>
      <c r="I134" s="1">
        <v>45414</v>
      </c>
      <c r="J134" s="86">
        <v>3</v>
      </c>
      <c r="K134" s="88">
        <v>53516.14</v>
      </c>
      <c r="L134" s="88">
        <v>48000</v>
      </c>
      <c r="M134" s="1">
        <v>45456</v>
      </c>
      <c r="N134" s="1">
        <v>45454</v>
      </c>
      <c r="O134" s="86">
        <v>3</v>
      </c>
      <c r="P134" t="s">
        <v>213</v>
      </c>
      <c r="Q134">
        <v>1</v>
      </c>
      <c r="R134">
        <v>1</v>
      </c>
      <c r="S134">
        <v>1</v>
      </c>
      <c r="T134" s="89">
        <v>40</v>
      </c>
      <c r="U134">
        <v>2024</v>
      </c>
      <c r="V134" s="90">
        <v>45413</v>
      </c>
      <c r="W134" s="87">
        <v>160548.41999999998</v>
      </c>
      <c r="X134" s="87">
        <v>144000</v>
      </c>
      <c r="Y134" s="87">
        <v>16548.419999999998</v>
      </c>
    </row>
    <row r="135" spans="1:25">
      <c r="A135" t="s">
        <v>260</v>
      </c>
      <c r="B135" t="s">
        <v>111</v>
      </c>
      <c r="C135" t="s">
        <v>112</v>
      </c>
      <c r="D135" t="s">
        <v>113</v>
      </c>
      <c r="E135" t="s">
        <v>84</v>
      </c>
      <c r="F135" t="s">
        <v>114</v>
      </c>
      <c r="G135" t="s">
        <v>115</v>
      </c>
      <c r="H135" s="1">
        <v>45411</v>
      </c>
      <c r="I135" s="1">
        <v>45414</v>
      </c>
      <c r="J135" s="86">
        <v>23115557.925999999</v>
      </c>
      <c r="K135" s="88">
        <v>0.1124</v>
      </c>
      <c r="L135" s="88">
        <v>0.11</v>
      </c>
      <c r="M135" s="1">
        <v>45484</v>
      </c>
      <c r="N135" s="1">
        <v>45484</v>
      </c>
      <c r="O135" s="86">
        <v>23115557.925999999</v>
      </c>
      <c r="P135" t="s">
        <v>32</v>
      </c>
      <c r="Q135">
        <v>1</v>
      </c>
      <c r="R135">
        <v>1</v>
      </c>
      <c r="S135">
        <v>1</v>
      </c>
      <c r="T135" s="89">
        <v>70</v>
      </c>
      <c r="U135">
        <v>2024</v>
      </c>
      <c r="V135" s="90">
        <v>45413</v>
      </c>
      <c r="W135" s="87">
        <v>2598188.7108823997</v>
      </c>
      <c r="X135" s="87">
        <v>2542711.3718599998</v>
      </c>
      <c r="Y135" s="87">
        <v>55477.339022399981</v>
      </c>
    </row>
    <row r="136" spans="1:25">
      <c r="A136" t="s">
        <v>261</v>
      </c>
      <c r="B136" t="s">
        <v>76</v>
      </c>
      <c r="C136" t="s">
        <v>77</v>
      </c>
      <c r="D136" t="s">
        <v>78</v>
      </c>
      <c r="E136" t="s">
        <v>37</v>
      </c>
      <c r="F136" t="s">
        <v>79</v>
      </c>
      <c r="G136" t="s">
        <v>80</v>
      </c>
      <c r="H136" s="1">
        <v>45420</v>
      </c>
      <c r="I136" s="1">
        <v>45423</v>
      </c>
      <c r="J136" s="86">
        <v>14402.86</v>
      </c>
      <c r="K136" s="88">
        <v>38.46</v>
      </c>
      <c r="L136" s="88">
        <v>38</v>
      </c>
      <c r="M136" s="1">
        <v>45458</v>
      </c>
      <c r="N136" s="1">
        <v>45456</v>
      </c>
      <c r="O136" s="86">
        <v>14402.86</v>
      </c>
      <c r="P136" t="s">
        <v>32</v>
      </c>
      <c r="Q136">
        <v>1</v>
      </c>
      <c r="R136">
        <v>1</v>
      </c>
      <c r="S136">
        <v>1</v>
      </c>
      <c r="T136" s="89">
        <v>33</v>
      </c>
      <c r="U136">
        <v>2024</v>
      </c>
      <c r="V136" s="90">
        <v>45413</v>
      </c>
      <c r="W136" s="87">
        <v>553933.99560000002</v>
      </c>
      <c r="X136" s="87">
        <v>547308.68000000005</v>
      </c>
      <c r="Y136" s="87">
        <v>6625.3156000000126</v>
      </c>
    </row>
    <row r="137" spans="1:25">
      <c r="A137" t="s">
        <v>262</v>
      </c>
      <c r="B137" t="s">
        <v>82</v>
      </c>
      <c r="C137" t="s">
        <v>83</v>
      </c>
      <c r="D137" t="s">
        <v>78</v>
      </c>
      <c r="E137" t="s">
        <v>84</v>
      </c>
      <c r="F137" t="s">
        <v>79</v>
      </c>
      <c r="G137" t="s">
        <v>80</v>
      </c>
      <c r="H137" s="1">
        <v>45419</v>
      </c>
      <c r="I137" s="1">
        <v>45424</v>
      </c>
      <c r="J137" s="86">
        <v>288.46899999999999</v>
      </c>
      <c r="K137" s="88">
        <v>520.30999999999995</v>
      </c>
      <c r="L137" s="88">
        <v>520</v>
      </c>
      <c r="M137" s="1">
        <v>45459</v>
      </c>
      <c r="N137" s="1">
        <v>45457</v>
      </c>
      <c r="O137" s="86">
        <v>288.46899999999999</v>
      </c>
      <c r="P137" t="s">
        <v>32</v>
      </c>
      <c r="Q137">
        <v>1</v>
      </c>
      <c r="R137">
        <v>1</v>
      </c>
      <c r="S137">
        <v>1</v>
      </c>
      <c r="T137" s="89">
        <v>33</v>
      </c>
      <c r="U137">
        <v>2024</v>
      </c>
      <c r="V137" s="90">
        <v>45413</v>
      </c>
      <c r="W137" s="87">
        <v>150093.30538999999</v>
      </c>
      <c r="X137" s="87">
        <v>150003.88</v>
      </c>
      <c r="Y137" s="87">
        <v>89.425389999984262</v>
      </c>
    </row>
    <row r="138" spans="1:25">
      <c r="A138" t="s">
        <v>263</v>
      </c>
      <c r="B138" t="s">
        <v>26</v>
      </c>
      <c r="C138" t="s">
        <v>27</v>
      </c>
      <c r="D138" t="s">
        <v>28</v>
      </c>
      <c r="E138" t="s">
        <v>29</v>
      </c>
      <c r="F138" t="s">
        <v>30</v>
      </c>
      <c r="G138" t="s">
        <v>31</v>
      </c>
      <c r="H138" s="1">
        <v>45425</v>
      </c>
      <c r="I138" s="1">
        <v>45430</v>
      </c>
      <c r="J138" s="86">
        <v>24000</v>
      </c>
      <c r="K138" s="88">
        <v>119</v>
      </c>
      <c r="L138" s="88">
        <v>118</v>
      </c>
      <c r="M138" s="1">
        <v>45472</v>
      </c>
      <c r="N138" s="1">
        <v>45470</v>
      </c>
      <c r="O138" s="86">
        <v>24000</v>
      </c>
      <c r="P138" t="s">
        <v>32</v>
      </c>
      <c r="Q138">
        <v>1</v>
      </c>
      <c r="R138">
        <v>1</v>
      </c>
      <c r="S138">
        <v>1</v>
      </c>
      <c r="T138" s="89">
        <v>40</v>
      </c>
      <c r="U138">
        <v>2024</v>
      </c>
      <c r="V138" s="90">
        <v>45413</v>
      </c>
      <c r="W138" s="87">
        <v>2856000</v>
      </c>
      <c r="X138" s="87">
        <v>2832000</v>
      </c>
      <c r="Y138" s="87">
        <v>24000</v>
      </c>
    </row>
    <row r="139" spans="1:25">
      <c r="A139" t="s">
        <v>264</v>
      </c>
      <c r="B139" t="s">
        <v>54</v>
      </c>
      <c r="C139" t="s">
        <v>55</v>
      </c>
      <c r="D139" t="s">
        <v>49</v>
      </c>
      <c r="E139" t="s">
        <v>56</v>
      </c>
      <c r="F139" t="s">
        <v>57</v>
      </c>
      <c r="G139" t="s">
        <v>58</v>
      </c>
      <c r="H139" s="1">
        <v>45427</v>
      </c>
      <c r="I139" s="1">
        <v>45431</v>
      </c>
      <c r="J139" s="86">
        <v>21600</v>
      </c>
      <c r="K139" s="88">
        <v>29.09</v>
      </c>
      <c r="L139" s="88">
        <v>28</v>
      </c>
      <c r="M139" s="1">
        <v>45473</v>
      </c>
      <c r="N139" s="1">
        <v>45472</v>
      </c>
      <c r="O139" s="86">
        <v>19080.276000000002</v>
      </c>
      <c r="P139" t="s">
        <v>32</v>
      </c>
      <c r="Q139">
        <v>1</v>
      </c>
      <c r="R139">
        <v>0</v>
      </c>
      <c r="S139">
        <v>0</v>
      </c>
      <c r="T139" s="89">
        <v>41</v>
      </c>
      <c r="U139">
        <v>2024</v>
      </c>
      <c r="V139" s="90">
        <v>45413</v>
      </c>
      <c r="W139" s="87">
        <v>555045.22884</v>
      </c>
      <c r="X139" s="87">
        <v>534247.728</v>
      </c>
      <c r="Y139" s="87">
        <v>20797.500840000001</v>
      </c>
    </row>
    <row r="140" spans="1:25">
      <c r="A140" t="s">
        <v>265</v>
      </c>
      <c r="B140" t="s">
        <v>60</v>
      </c>
      <c r="C140" t="s">
        <v>61</v>
      </c>
      <c r="D140" t="s">
        <v>49</v>
      </c>
      <c r="E140" t="s">
        <v>56</v>
      </c>
      <c r="F140" t="s">
        <v>57</v>
      </c>
      <c r="G140" t="s">
        <v>58</v>
      </c>
      <c r="H140" s="1">
        <v>45426</v>
      </c>
      <c r="I140" s="1">
        <v>45428</v>
      </c>
      <c r="J140" s="86">
        <v>1920.202</v>
      </c>
      <c r="K140" s="88">
        <v>405.32</v>
      </c>
      <c r="L140" s="88">
        <v>410</v>
      </c>
      <c r="M140" s="1">
        <v>45470</v>
      </c>
      <c r="N140" s="1">
        <v>45469</v>
      </c>
      <c r="O140" s="86">
        <v>1920.202</v>
      </c>
      <c r="P140" t="s">
        <v>32</v>
      </c>
      <c r="Q140">
        <v>1</v>
      </c>
      <c r="R140">
        <v>1</v>
      </c>
      <c r="S140">
        <v>1</v>
      </c>
      <c r="T140" s="89">
        <v>41</v>
      </c>
      <c r="U140">
        <v>2024</v>
      </c>
      <c r="V140" s="90">
        <v>45413</v>
      </c>
      <c r="W140" s="87">
        <v>778296.27463999996</v>
      </c>
      <c r="X140" s="87">
        <v>787282.82</v>
      </c>
      <c r="Y140" s="87">
        <v>-8986.5453600000128</v>
      </c>
    </row>
    <row r="141" spans="1:25">
      <c r="A141" t="s">
        <v>266</v>
      </c>
      <c r="B141" t="s">
        <v>63</v>
      </c>
      <c r="C141" t="s">
        <v>64</v>
      </c>
      <c r="D141" t="s">
        <v>49</v>
      </c>
      <c r="E141" t="s">
        <v>56</v>
      </c>
      <c r="F141" t="s">
        <v>65</v>
      </c>
      <c r="G141" t="s">
        <v>66</v>
      </c>
      <c r="H141" s="1">
        <v>45425</v>
      </c>
      <c r="I141" s="1">
        <v>45429</v>
      </c>
      <c r="J141" s="86">
        <v>3454.7719999999999</v>
      </c>
      <c r="K141" s="88">
        <v>164.14</v>
      </c>
      <c r="L141" s="88">
        <v>160</v>
      </c>
      <c r="M141" s="1">
        <v>45457</v>
      </c>
      <c r="N141" s="1">
        <v>45456</v>
      </c>
      <c r="O141" s="86">
        <v>3454.7719999999999</v>
      </c>
      <c r="P141" t="s">
        <v>32</v>
      </c>
      <c r="Q141">
        <v>1</v>
      </c>
      <c r="R141">
        <v>1</v>
      </c>
      <c r="S141">
        <v>1</v>
      </c>
      <c r="T141" s="89">
        <v>27</v>
      </c>
      <c r="U141">
        <v>2024</v>
      </c>
      <c r="V141" s="90">
        <v>45413</v>
      </c>
      <c r="W141" s="87">
        <v>567066.27607999998</v>
      </c>
      <c r="X141" s="87">
        <v>552763.52</v>
      </c>
      <c r="Y141" s="87">
        <v>14302.756079999952</v>
      </c>
    </row>
    <row r="142" spans="1:25">
      <c r="A142" t="s">
        <v>267</v>
      </c>
      <c r="B142" t="s">
        <v>68</v>
      </c>
      <c r="C142" t="s">
        <v>69</v>
      </c>
      <c r="D142" t="s">
        <v>43</v>
      </c>
      <c r="E142" t="s">
        <v>37</v>
      </c>
      <c r="F142" t="s">
        <v>70</v>
      </c>
      <c r="G142" t="s">
        <v>71</v>
      </c>
      <c r="H142" s="1">
        <v>45427</v>
      </c>
      <c r="I142" s="1">
        <v>45429</v>
      </c>
      <c r="J142" s="86">
        <v>144346.75200000001</v>
      </c>
      <c r="K142" s="88">
        <v>4.26</v>
      </c>
      <c r="L142" s="88">
        <v>4.2</v>
      </c>
      <c r="M142" s="1">
        <v>45450</v>
      </c>
      <c r="N142" s="1">
        <v>45449</v>
      </c>
      <c r="O142" s="86">
        <v>144346.75200000001</v>
      </c>
      <c r="P142" t="s">
        <v>32</v>
      </c>
      <c r="Q142">
        <v>1</v>
      </c>
      <c r="R142">
        <v>1</v>
      </c>
      <c r="S142">
        <v>1</v>
      </c>
      <c r="T142" s="89">
        <v>20</v>
      </c>
      <c r="U142">
        <v>2024</v>
      </c>
      <c r="V142" s="90">
        <v>45413</v>
      </c>
      <c r="W142" s="87">
        <v>614917.16352000006</v>
      </c>
      <c r="X142" s="87">
        <v>606256.35840000003</v>
      </c>
      <c r="Y142" s="87">
        <v>8660.8051199999445</v>
      </c>
    </row>
    <row r="143" spans="1:25">
      <c r="A143" t="s">
        <v>268</v>
      </c>
      <c r="B143" t="s">
        <v>98</v>
      </c>
      <c r="C143" t="s">
        <v>99</v>
      </c>
      <c r="D143" t="s">
        <v>100</v>
      </c>
      <c r="E143" t="s">
        <v>101</v>
      </c>
      <c r="F143" t="s">
        <v>102</v>
      </c>
      <c r="G143" t="s">
        <v>103</v>
      </c>
      <c r="H143" s="1">
        <v>45427</v>
      </c>
      <c r="I143" s="1">
        <v>45428</v>
      </c>
      <c r="J143" s="86">
        <v>19.2</v>
      </c>
      <c r="K143" s="88">
        <v>6372.95</v>
      </c>
      <c r="L143" s="88">
        <v>6200</v>
      </c>
      <c r="M143" s="1">
        <v>45477</v>
      </c>
      <c r="N143" s="1">
        <v>45492</v>
      </c>
      <c r="O143" s="86">
        <v>19.2</v>
      </c>
      <c r="P143" t="s">
        <v>32</v>
      </c>
      <c r="Q143">
        <v>0</v>
      </c>
      <c r="R143">
        <v>1</v>
      </c>
      <c r="S143">
        <v>0</v>
      </c>
      <c r="T143" s="89">
        <v>64</v>
      </c>
      <c r="U143">
        <v>2024</v>
      </c>
      <c r="V143" s="90">
        <v>45413</v>
      </c>
      <c r="W143" s="87">
        <v>122360.63999999998</v>
      </c>
      <c r="X143" s="87">
        <v>119040</v>
      </c>
      <c r="Y143" s="87">
        <v>3320.6399999999962</v>
      </c>
    </row>
    <row r="144" spans="1:25">
      <c r="A144" t="s">
        <v>269</v>
      </c>
      <c r="B144" t="s">
        <v>128</v>
      </c>
      <c r="C144" t="s">
        <v>129</v>
      </c>
      <c r="D144" t="s">
        <v>130</v>
      </c>
      <c r="E144" t="s">
        <v>84</v>
      </c>
      <c r="F144" t="s">
        <v>131</v>
      </c>
      <c r="G144" t="s">
        <v>132</v>
      </c>
      <c r="H144" s="1">
        <v>45425</v>
      </c>
      <c r="I144" s="1">
        <v>45430</v>
      </c>
      <c r="J144" s="86">
        <v>2</v>
      </c>
      <c r="K144" s="88">
        <v>65314.92</v>
      </c>
      <c r="L144" s="88">
        <v>65000</v>
      </c>
      <c r="M144" s="1">
        <v>45500</v>
      </c>
      <c r="N144" s="1">
        <v>45500</v>
      </c>
      <c r="O144" s="86">
        <v>2</v>
      </c>
      <c r="P144" t="s">
        <v>32</v>
      </c>
      <c r="Q144">
        <v>1</v>
      </c>
      <c r="R144">
        <v>1</v>
      </c>
      <c r="S144">
        <v>1</v>
      </c>
      <c r="T144" s="89">
        <v>70</v>
      </c>
      <c r="U144">
        <v>2024</v>
      </c>
      <c r="V144" s="90">
        <v>45413</v>
      </c>
      <c r="W144" s="87">
        <v>130629.84</v>
      </c>
      <c r="X144" s="87">
        <v>130000</v>
      </c>
      <c r="Y144" s="87">
        <v>629.83999999999651</v>
      </c>
    </row>
    <row r="145" spans="1:25">
      <c r="A145" t="s">
        <v>270</v>
      </c>
      <c r="B145" t="s">
        <v>86</v>
      </c>
      <c r="C145" t="s">
        <v>87</v>
      </c>
      <c r="D145" t="s">
        <v>88</v>
      </c>
      <c r="E145" t="s">
        <v>84</v>
      </c>
      <c r="F145" t="s">
        <v>89</v>
      </c>
      <c r="G145" t="s">
        <v>90</v>
      </c>
      <c r="H145" s="1">
        <v>45433</v>
      </c>
      <c r="I145" s="1">
        <v>45435</v>
      </c>
      <c r="J145" s="86">
        <v>17.28</v>
      </c>
      <c r="K145" s="88">
        <v>9463.0499999999993</v>
      </c>
      <c r="L145" s="88">
        <v>9500</v>
      </c>
      <c r="M145" s="1">
        <v>45498</v>
      </c>
      <c r="N145" s="1">
        <v>45496</v>
      </c>
      <c r="O145" s="86">
        <v>17.28</v>
      </c>
      <c r="P145" t="s">
        <v>32</v>
      </c>
      <c r="Q145">
        <v>1</v>
      </c>
      <c r="R145">
        <v>1</v>
      </c>
      <c r="S145">
        <v>1</v>
      </c>
      <c r="T145" s="89">
        <v>61</v>
      </c>
      <c r="U145">
        <v>2024</v>
      </c>
      <c r="V145" s="90">
        <v>45413</v>
      </c>
      <c r="W145" s="87">
        <v>163521.50399999999</v>
      </c>
      <c r="X145" s="87">
        <v>164160</v>
      </c>
      <c r="Y145" s="87">
        <v>-638.4960000000126</v>
      </c>
    </row>
    <row r="146" spans="1:25">
      <c r="A146" t="s">
        <v>271</v>
      </c>
      <c r="B146" t="s">
        <v>134</v>
      </c>
      <c r="C146" t="s">
        <v>135</v>
      </c>
      <c r="D146" t="s">
        <v>136</v>
      </c>
      <c r="E146" t="s">
        <v>101</v>
      </c>
      <c r="F146" t="s">
        <v>137</v>
      </c>
      <c r="G146" t="s">
        <v>138</v>
      </c>
      <c r="H146" s="1">
        <v>45432</v>
      </c>
      <c r="I146" s="1">
        <v>45434</v>
      </c>
      <c r="J146" s="86">
        <v>66769.099000000002</v>
      </c>
      <c r="K146" s="88">
        <v>6.52</v>
      </c>
      <c r="L146" s="88">
        <v>6.5</v>
      </c>
      <c r="M146" s="1">
        <v>45490</v>
      </c>
      <c r="N146" s="1">
        <v>45488</v>
      </c>
      <c r="O146" s="86">
        <v>66769.099000000002</v>
      </c>
      <c r="P146" t="s">
        <v>32</v>
      </c>
      <c r="Q146">
        <v>1</v>
      </c>
      <c r="R146">
        <v>1</v>
      </c>
      <c r="S146">
        <v>1</v>
      </c>
      <c r="T146" s="89">
        <v>54</v>
      </c>
      <c r="U146">
        <v>2024</v>
      </c>
      <c r="V146" s="90">
        <v>45413</v>
      </c>
      <c r="W146" s="87">
        <v>435334.52548000001</v>
      </c>
      <c r="X146" s="87">
        <v>433999.14350000001</v>
      </c>
      <c r="Y146" s="87">
        <v>1335.3819799999715</v>
      </c>
    </row>
    <row r="147" spans="1:25">
      <c r="A147" t="s">
        <v>272</v>
      </c>
      <c r="B147" t="s">
        <v>73</v>
      </c>
      <c r="C147" t="s">
        <v>74</v>
      </c>
      <c r="D147" t="s">
        <v>43</v>
      </c>
      <c r="E147" t="s">
        <v>37</v>
      </c>
      <c r="F147" t="s">
        <v>70</v>
      </c>
      <c r="G147" t="s">
        <v>71</v>
      </c>
      <c r="H147" s="1">
        <v>45439</v>
      </c>
      <c r="I147" s="1">
        <v>45441</v>
      </c>
      <c r="J147" s="86">
        <v>60043.406000000003</v>
      </c>
      <c r="K147" s="88">
        <v>6.87</v>
      </c>
      <c r="L147" s="88">
        <v>6.8</v>
      </c>
      <c r="M147" s="1">
        <v>45462</v>
      </c>
      <c r="N147" s="1">
        <v>45468</v>
      </c>
      <c r="O147" s="86">
        <v>60043.406000000003</v>
      </c>
      <c r="P147" t="s">
        <v>32</v>
      </c>
      <c r="Q147">
        <v>0</v>
      </c>
      <c r="R147">
        <v>1</v>
      </c>
      <c r="S147">
        <v>0</v>
      </c>
      <c r="T147" s="89">
        <v>27</v>
      </c>
      <c r="U147">
        <v>2024</v>
      </c>
      <c r="V147" s="90">
        <v>45413</v>
      </c>
      <c r="W147" s="87">
        <v>412498.19922000001</v>
      </c>
      <c r="X147" s="87">
        <v>408295.16080000001</v>
      </c>
      <c r="Y147" s="87">
        <v>4203.0384200000171</v>
      </c>
    </row>
    <row r="148" spans="1:25">
      <c r="A148" t="s">
        <v>273</v>
      </c>
      <c r="B148" t="s">
        <v>92</v>
      </c>
      <c r="C148" t="s">
        <v>93</v>
      </c>
      <c r="D148" t="s">
        <v>94</v>
      </c>
      <c r="E148" t="s">
        <v>56</v>
      </c>
      <c r="F148" t="s">
        <v>95</v>
      </c>
      <c r="G148" t="s">
        <v>96</v>
      </c>
      <c r="H148" s="1">
        <v>45439</v>
      </c>
      <c r="I148" s="1">
        <v>45440</v>
      </c>
      <c r="J148" s="86">
        <v>96.055999999999997</v>
      </c>
      <c r="K148" s="88">
        <v>3927.22</v>
      </c>
      <c r="L148" s="88">
        <v>3900</v>
      </c>
      <c r="M148" s="1">
        <v>45510</v>
      </c>
      <c r="N148" s="1">
        <v>45510</v>
      </c>
      <c r="O148" s="86">
        <v>96.055999999999997</v>
      </c>
      <c r="P148" t="s">
        <v>32</v>
      </c>
      <c r="Q148">
        <v>1</v>
      </c>
      <c r="R148">
        <v>1</v>
      </c>
      <c r="S148">
        <v>1</v>
      </c>
      <c r="T148" s="89">
        <v>70</v>
      </c>
      <c r="U148">
        <v>2024</v>
      </c>
      <c r="V148" s="90">
        <v>45413</v>
      </c>
      <c r="W148" s="87">
        <v>377233.04431999999</v>
      </c>
      <c r="X148" s="87">
        <v>374618.39999999997</v>
      </c>
      <c r="Y148" s="87">
        <v>2614.6443199999808</v>
      </c>
    </row>
    <row r="149" spans="1:25">
      <c r="A149" t="s">
        <v>274</v>
      </c>
      <c r="B149" t="s">
        <v>34</v>
      </c>
      <c r="C149" t="s">
        <v>35</v>
      </c>
      <c r="D149" t="s">
        <v>36</v>
      </c>
      <c r="E149" t="s">
        <v>37</v>
      </c>
      <c r="F149" t="s">
        <v>38</v>
      </c>
      <c r="G149" t="s">
        <v>39</v>
      </c>
      <c r="H149" s="1">
        <v>45447</v>
      </c>
      <c r="I149" s="1">
        <v>45449</v>
      </c>
      <c r="J149" s="86">
        <v>843.29899999999998</v>
      </c>
      <c r="K149" s="88">
        <v>2439.96</v>
      </c>
      <c r="L149" s="88">
        <v>2400</v>
      </c>
      <c r="M149" s="1">
        <v>45519</v>
      </c>
      <c r="N149" s="1">
        <v>45518</v>
      </c>
      <c r="O149" s="86">
        <v>843.29899999999998</v>
      </c>
      <c r="P149" t="s">
        <v>32</v>
      </c>
      <c r="Q149">
        <v>1</v>
      </c>
      <c r="R149">
        <v>1</v>
      </c>
      <c r="S149">
        <v>1</v>
      </c>
      <c r="T149" s="89">
        <v>69</v>
      </c>
      <c r="U149">
        <v>2024</v>
      </c>
      <c r="V149" s="90">
        <v>45444</v>
      </c>
      <c r="W149" s="87">
        <v>2057615.8280400001</v>
      </c>
      <c r="X149" s="87">
        <v>2023917.5999999999</v>
      </c>
      <c r="Y149" s="87">
        <v>33698.228040000031</v>
      </c>
    </row>
    <row r="150" spans="1:25">
      <c r="A150" t="s">
        <v>275</v>
      </c>
      <c r="B150" t="s">
        <v>41</v>
      </c>
      <c r="C150" t="s">
        <v>42</v>
      </c>
      <c r="D150" t="s">
        <v>43</v>
      </c>
      <c r="E150" t="s">
        <v>37</v>
      </c>
      <c r="F150" t="s">
        <v>44</v>
      </c>
      <c r="G150" t="s">
        <v>45</v>
      </c>
      <c r="H150" s="1">
        <v>45446</v>
      </c>
      <c r="I150" s="1">
        <v>45447</v>
      </c>
      <c r="J150" s="86">
        <v>43202.328000000001</v>
      </c>
      <c r="K150" s="88">
        <v>9.5299999999999994</v>
      </c>
      <c r="L150" s="88">
        <v>9.5</v>
      </c>
      <c r="M150" s="1">
        <v>45468</v>
      </c>
      <c r="N150" s="1">
        <v>45468</v>
      </c>
      <c r="O150" s="86">
        <v>43202.328000000001</v>
      </c>
      <c r="P150" t="s">
        <v>32</v>
      </c>
      <c r="Q150">
        <v>1</v>
      </c>
      <c r="R150">
        <v>1</v>
      </c>
      <c r="S150">
        <v>1</v>
      </c>
      <c r="T150" s="89">
        <v>21</v>
      </c>
      <c r="U150">
        <v>2024</v>
      </c>
      <c r="V150" s="90">
        <v>45444</v>
      </c>
      <c r="W150" s="87">
        <v>411718.18583999999</v>
      </c>
      <c r="X150" s="87">
        <v>410422.11600000004</v>
      </c>
      <c r="Y150" s="87">
        <v>1296.0698399999724</v>
      </c>
    </row>
    <row r="151" spans="1:25">
      <c r="A151" t="s">
        <v>276</v>
      </c>
      <c r="B151" t="s">
        <v>47</v>
      </c>
      <c r="C151" t="s">
        <v>48</v>
      </c>
      <c r="D151" t="s">
        <v>49</v>
      </c>
      <c r="E151" t="s">
        <v>50</v>
      </c>
      <c r="F151" t="s">
        <v>51</v>
      </c>
      <c r="G151" t="s">
        <v>52</v>
      </c>
      <c r="H151" s="1">
        <v>45446</v>
      </c>
      <c r="I151" s="1">
        <v>45448</v>
      </c>
      <c r="J151" s="86">
        <v>144.57499999999999</v>
      </c>
      <c r="K151" s="88">
        <v>1888.22</v>
      </c>
      <c r="L151" s="88">
        <v>1850</v>
      </c>
      <c r="M151" s="1">
        <v>45504</v>
      </c>
      <c r="N151" s="1">
        <v>45501</v>
      </c>
      <c r="O151" s="86">
        <v>144.57499999999999</v>
      </c>
      <c r="P151" t="s">
        <v>32</v>
      </c>
      <c r="Q151">
        <v>1</v>
      </c>
      <c r="R151">
        <v>1</v>
      </c>
      <c r="S151">
        <v>1</v>
      </c>
      <c r="T151" s="89">
        <v>53</v>
      </c>
      <c r="U151">
        <v>2024</v>
      </c>
      <c r="V151" s="90">
        <v>45444</v>
      </c>
      <c r="W151" s="87">
        <v>272989.40649999998</v>
      </c>
      <c r="X151" s="87">
        <v>267463.75</v>
      </c>
      <c r="Y151" s="87">
        <v>5525.6565000000037</v>
      </c>
    </row>
    <row r="152" spans="1:25">
      <c r="A152" t="s">
        <v>277</v>
      </c>
      <c r="B152" t="s">
        <v>117</v>
      </c>
      <c r="C152" t="s">
        <v>118</v>
      </c>
      <c r="D152" t="s">
        <v>119</v>
      </c>
      <c r="E152" t="s">
        <v>120</v>
      </c>
      <c r="F152" t="s">
        <v>121</v>
      </c>
      <c r="G152" t="s">
        <v>122</v>
      </c>
      <c r="H152" s="1">
        <v>45448</v>
      </c>
      <c r="I152" s="1">
        <v>45451</v>
      </c>
      <c r="J152" s="86">
        <v>15677301.205</v>
      </c>
      <c r="K152" s="88">
        <v>4.1000000000000003E-3</v>
      </c>
      <c r="L152" s="88">
        <v>4.0000000000000001E-3</v>
      </c>
      <c r="M152" s="1">
        <v>45486</v>
      </c>
      <c r="N152" s="1">
        <v>45485</v>
      </c>
      <c r="O152" s="86">
        <v>15677301.205</v>
      </c>
      <c r="P152" t="s">
        <v>32</v>
      </c>
      <c r="Q152">
        <v>1</v>
      </c>
      <c r="R152">
        <v>1</v>
      </c>
      <c r="S152">
        <v>1</v>
      </c>
      <c r="T152" s="89">
        <v>34</v>
      </c>
      <c r="U152">
        <v>2024</v>
      </c>
      <c r="V152" s="90">
        <v>45444</v>
      </c>
      <c r="W152" s="87">
        <v>64276.934940500003</v>
      </c>
      <c r="X152" s="87">
        <v>62709.204819999999</v>
      </c>
      <c r="Y152" s="87">
        <v>1567.7301205000042</v>
      </c>
    </row>
    <row r="153" spans="1:25">
      <c r="A153" t="s">
        <v>278</v>
      </c>
      <c r="B153" t="s">
        <v>124</v>
      </c>
      <c r="C153" t="s">
        <v>125</v>
      </c>
      <c r="D153" t="s">
        <v>119</v>
      </c>
      <c r="E153" t="s">
        <v>126</v>
      </c>
      <c r="F153" t="s">
        <v>121</v>
      </c>
      <c r="G153" t="s">
        <v>122</v>
      </c>
      <c r="H153" s="1">
        <v>45446</v>
      </c>
      <c r="I153" s="1">
        <v>45450</v>
      </c>
      <c r="J153" s="86">
        <v>9131677.0350000001</v>
      </c>
      <c r="K153" s="88">
        <v>2.06E-2</v>
      </c>
      <c r="L153" s="88">
        <v>0.02</v>
      </c>
      <c r="M153" s="1">
        <v>45485</v>
      </c>
      <c r="N153" s="1">
        <v>45484</v>
      </c>
      <c r="O153" s="86">
        <v>9131677.0350000001</v>
      </c>
      <c r="P153" t="s">
        <v>32</v>
      </c>
      <c r="Q153">
        <v>1</v>
      </c>
      <c r="R153">
        <v>1</v>
      </c>
      <c r="S153">
        <v>1</v>
      </c>
      <c r="T153" s="89">
        <v>34</v>
      </c>
      <c r="U153">
        <v>2024</v>
      </c>
      <c r="V153" s="90">
        <v>45444</v>
      </c>
      <c r="W153" s="87">
        <v>188112.546921</v>
      </c>
      <c r="X153" s="87">
        <v>182633.54070000001</v>
      </c>
      <c r="Y153" s="87">
        <v>5479.0062209999987</v>
      </c>
    </row>
    <row r="154" spans="1:25">
      <c r="A154" t="s">
        <v>279</v>
      </c>
      <c r="B154" t="s">
        <v>140</v>
      </c>
      <c r="C154" t="s">
        <v>141</v>
      </c>
      <c r="D154" t="s">
        <v>142</v>
      </c>
      <c r="E154" t="s">
        <v>84</v>
      </c>
      <c r="F154" t="s">
        <v>143</v>
      </c>
      <c r="G154" t="s">
        <v>144</v>
      </c>
      <c r="H154" s="1">
        <v>45448</v>
      </c>
      <c r="I154" s="1">
        <v>45450</v>
      </c>
      <c r="J154" s="86">
        <v>26181350.603999998</v>
      </c>
      <c r="K154" s="88">
        <v>1.2E-2</v>
      </c>
      <c r="L154" s="88">
        <v>1.2E-2</v>
      </c>
      <c r="M154" s="1">
        <v>45464</v>
      </c>
      <c r="N154" s="1">
        <v>45461</v>
      </c>
      <c r="O154" s="86">
        <v>26181350.603999998</v>
      </c>
      <c r="P154" t="s">
        <v>32</v>
      </c>
      <c r="Q154">
        <v>1</v>
      </c>
      <c r="R154">
        <v>1</v>
      </c>
      <c r="S154">
        <v>1</v>
      </c>
      <c r="T154" s="89">
        <v>11</v>
      </c>
      <c r="U154">
        <v>2024</v>
      </c>
      <c r="V154" s="90">
        <v>45444</v>
      </c>
      <c r="W154" s="87">
        <v>314176.20724799996</v>
      </c>
      <c r="X154" s="87">
        <v>314176.20724799996</v>
      </c>
      <c r="Y154" s="87">
        <v>0</v>
      </c>
    </row>
    <row r="155" spans="1:25">
      <c r="A155" t="s">
        <v>280</v>
      </c>
      <c r="B155" t="s">
        <v>76</v>
      </c>
      <c r="C155" t="s">
        <v>77</v>
      </c>
      <c r="D155" t="s">
        <v>78</v>
      </c>
      <c r="E155" t="s">
        <v>37</v>
      </c>
      <c r="F155" t="s">
        <v>79</v>
      </c>
      <c r="G155" t="s">
        <v>80</v>
      </c>
      <c r="H155" s="1">
        <v>45455</v>
      </c>
      <c r="I155" s="1">
        <v>45456</v>
      </c>
      <c r="J155" s="86">
        <v>14423.37</v>
      </c>
      <c r="K155" s="88">
        <v>38.67</v>
      </c>
      <c r="L155" s="88">
        <v>38</v>
      </c>
      <c r="M155" s="1">
        <v>45491</v>
      </c>
      <c r="N155" s="1">
        <v>45489</v>
      </c>
      <c r="O155" s="86">
        <v>14423.37</v>
      </c>
      <c r="P155" t="s">
        <v>32</v>
      </c>
      <c r="Q155">
        <v>1</v>
      </c>
      <c r="R155">
        <v>1</v>
      </c>
      <c r="S155">
        <v>1</v>
      </c>
      <c r="T155" s="89">
        <v>33</v>
      </c>
      <c r="U155">
        <v>2024</v>
      </c>
      <c r="V155" s="90">
        <v>45444</v>
      </c>
      <c r="W155" s="87">
        <v>557751.71790000005</v>
      </c>
      <c r="X155" s="87">
        <v>548088.06000000006</v>
      </c>
      <c r="Y155" s="87">
        <v>9663.6579000000256</v>
      </c>
    </row>
    <row r="156" spans="1:25">
      <c r="A156" t="s">
        <v>281</v>
      </c>
      <c r="B156" t="s">
        <v>82</v>
      </c>
      <c r="C156" t="s">
        <v>83</v>
      </c>
      <c r="D156" t="s">
        <v>78</v>
      </c>
      <c r="E156" t="s">
        <v>84</v>
      </c>
      <c r="F156" t="s">
        <v>79</v>
      </c>
      <c r="G156" t="s">
        <v>80</v>
      </c>
      <c r="H156" s="1">
        <v>45455</v>
      </c>
      <c r="I156" s="1">
        <v>45457</v>
      </c>
      <c r="J156" s="86">
        <v>288.07900000000001</v>
      </c>
      <c r="K156" s="88">
        <v>519.22</v>
      </c>
      <c r="L156" s="88">
        <v>520</v>
      </c>
      <c r="M156" s="1">
        <v>45492</v>
      </c>
      <c r="N156" s="1">
        <v>45490</v>
      </c>
      <c r="O156" s="86">
        <v>288.07900000000001</v>
      </c>
      <c r="P156" t="s">
        <v>32</v>
      </c>
      <c r="Q156">
        <v>1</v>
      </c>
      <c r="R156">
        <v>1</v>
      </c>
      <c r="S156">
        <v>1</v>
      </c>
      <c r="T156" s="89">
        <v>33</v>
      </c>
      <c r="U156">
        <v>2024</v>
      </c>
      <c r="V156" s="90">
        <v>45444</v>
      </c>
      <c r="W156" s="87">
        <v>149576.37838000001</v>
      </c>
      <c r="X156" s="87">
        <v>149801.08000000002</v>
      </c>
      <c r="Y156" s="87">
        <v>-224.70161999999215</v>
      </c>
    </row>
    <row r="157" spans="1:25">
      <c r="A157" t="s">
        <v>282</v>
      </c>
      <c r="B157" t="s">
        <v>111</v>
      </c>
      <c r="C157" t="s">
        <v>112</v>
      </c>
      <c r="D157" t="s">
        <v>113</v>
      </c>
      <c r="E157" t="s">
        <v>84</v>
      </c>
      <c r="F157" t="s">
        <v>114</v>
      </c>
      <c r="G157" t="s">
        <v>115</v>
      </c>
      <c r="H157" s="1">
        <v>45453</v>
      </c>
      <c r="I157" s="1">
        <v>45456</v>
      </c>
      <c r="J157" s="86">
        <v>26805745.890999999</v>
      </c>
      <c r="K157" s="88">
        <v>0.1108</v>
      </c>
      <c r="L157" s="88">
        <v>0.11</v>
      </c>
      <c r="M157" s="1">
        <v>45526</v>
      </c>
      <c r="N157" s="1">
        <v>45524</v>
      </c>
      <c r="O157" s="86">
        <v>26805745.890999999</v>
      </c>
      <c r="P157" t="s">
        <v>32</v>
      </c>
      <c r="Q157">
        <v>1</v>
      </c>
      <c r="R157">
        <v>1</v>
      </c>
      <c r="S157">
        <v>1</v>
      </c>
      <c r="T157" s="89">
        <v>68</v>
      </c>
      <c r="U157">
        <v>2024</v>
      </c>
      <c r="V157" s="90">
        <v>45444</v>
      </c>
      <c r="W157" s="87">
        <v>2970076.6447227998</v>
      </c>
      <c r="X157" s="87">
        <v>2948632.04801</v>
      </c>
      <c r="Y157" s="87">
        <v>21444.59671279987</v>
      </c>
    </row>
    <row r="158" spans="1:25">
      <c r="A158" t="s">
        <v>283</v>
      </c>
      <c r="B158" t="s">
        <v>128</v>
      </c>
      <c r="C158" t="s">
        <v>129</v>
      </c>
      <c r="D158" t="s">
        <v>130</v>
      </c>
      <c r="E158" t="s">
        <v>84</v>
      </c>
      <c r="F158" t="s">
        <v>131</v>
      </c>
      <c r="G158" t="s">
        <v>132</v>
      </c>
      <c r="H158" s="1">
        <v>45454</v>
      </c>
      <c r="I158" s="1">
        <v>45457</v>
      </c>
      <c r="J158" s="86">
        <v>2</v>
      </c>
      <c r="K158" s="88">
        <v>65572.41</v>
      </c>
      <c r="L158" s="88">
        <v>65000</v>
      </c>
      <c r="M158" s="1">
        <v>45527</v>
      </c>
      <c r="N158" s="1">
        <v>45529</v>
      </c>
      <c r="O158" s="86">
        <v>2</v>
      </c>
      <c r="P158" t="s">
        <v>32</v>
      </c>
      <c r="Q158">
        <v>0</v>
      </c>
      <c r="R158">
        <v>1</v>
      </c>
      <c r="S158">
        <v>0</v>
      </c>
      <c r="T158" s="89">
        <v>72</v>
      </c>
      <c r="U158">
        <v>2024</v>
      </c>
      <c r="V158" s="90">
        <v>45444</v>
      </c>
      <c r="W158" s="87">
        <v>131144.82</v>
      </c>
      <c r="X158" s="87">
        <v>130000</v>
      </c>
      <c r="Y158" s="87">
        <v>1144.820000000007</v>
      </c>
    </row>
    <row r="159" spans="1:25">
      <c r="A159" t="s">
        <v>284</v>
      </c>
      <c r="B159" t="s">
        <v>54</v>
      </c>
      <c r="C159" t="s">
        <v>55</v>
      </c>
      <c r="D159" t="s">
        <v>49</v>
      </c>
      <c r="E159" t="s">
        <v>56</v>
      </c>
      <c r="F159" t="s">
        <v>57</v>
      </c>
      <c r="G159" t="s">
        <v>58</v>
      </c>
      <c r="H159" s="1">
        <v>45460</v>
      </c>
      <c r="I159" s="1">
        <v>45461</v>
      </c>
      <c r="J159" s="86">
        <v>21611.284</v>
      </c>
      <c r="K159" s="88">
        <v>28.37</v>
      </c>
      <c r="L159" s="88">
        <v>28</v>
      </c>
      <c r="M159" s="1">
        <v>45503</v>
      </c>
      <c r="N159" s="1">
        <v>45500</v>
      </c>
      <c r="O159" s="86">
        <v>21611.284</v>
      </c>
      <c r="P159" t="s">
        <v>32</v>
      </c>
      <c r="Q159">
        <v>1</v>
      </c>
      <c r="R159">
        <v>1</v>
      </c>
      <c r="S159">
        <v>1</v>
      </c>
      <c r="T159" s="89">
        <v>39</v>
      </c>
      <c r="U159">
        <v>2024</v>
      </c>
      <c r="V159" s="90">
        <v>45444</v>
      </c>
      <c r="W159" s="87">
        <v>613112.12708000001</v>
      </c>
      <c r="X159" s="87">
        <v>605115.95200000005</v>
      </c>
      <c r="Y159" s="87">
        <v>7996.1750800000218</v>
      </c>
    </row>
    <row r="160" spans="1:25">
      <c r="A160" t="s">
        <v>285</v>
      </c>
      <c r="B160" t="s">
        <v>68</v>
      </c>
      <c r="C160" t="s">
        <v>69</v>
      </c>
      <c r="D160" t="s">
        <v>43</v>
      </c>
      <c r="E160" t="s">
        <v>37</v>
      </c>
      <c r="F160" t="s">
        <v>44</v>
      </c>
      <c r="G160" t="s">
        <v>45</v>
      </c>
      <c r="H160" s="1">
        <v>45461</v>
      </c>
      <c r="I160" s="1">
        <v>45464</v>
      </c>
      <c r="J160" s="86">
        <v>144158.66899999999</v>
      </c>
      <c r="K160" s="88">
        <v>4.2300000000000004</v>
      </c>
      <c r="L160" s="88">
        <v>4.2</v>
      </c>
      <c r="M160" s="1">
        <v>45485</v>
      </c>
      <c r="N160" s="1">
        <v>45485</v>
      </c>
      <c r="O160" s="86">
        <v>144158.66899999999</v>
      </c>
      <c r="P160" t="s">
        <v>32</v>
      </c>
      <c r="Q160">
        <v>1</v>
      </c>
      <c r="R160">
        <v>1</v>
      </c>
      <c r="S160">
        <v>1</v>
      </c>
      <c r="T160" s="89">
        <v>21</v>
      </c>
      <c r="U160">
        <v>2024</v>
      </c>
      <c r="V160" s="90">
        <v>45444</v>
      </c>
      <c r="W160" s="87">
        <v>609791.16986999998</v>
      </c>
      <c r="X160" s="87">
        <v>605466.40980000002</v>
      </c>
      <c r="Y160" s="87">
        <v>4324.7600700000357</v>
      </c>
    </row>
    <row r="161" spans="1:25">
      <c r="A161" t="s">
        <v>286</v>
      </c>
      <c r="B161" t="s">
        <v>105</v>
      </c>
      <c r="C161" t="s">
        <v>106</v>
      </c>
      <c r="D161" t="s">
        <v>107</v>
      </c>
      <c r="E161" t="s">
        <v>101</v>
      </c>
      <c r="F161" t="s">
        <v>108</v>
      </c>
      <c r="G161" t="s">
        <v>109</v>
      </c>
      <c r="H161" s="1">
        <v>45460</v>
      </c>
      <c r="I161" s="1">
        <v>45464</v>
      </c>
      <c r="J161" s="86">
        <v>4.0250000000000004</v>
      </c>
      <c r="K161" s="88">
        <v>48506.04</v>
      </c>
      <c r="L161" s="88">
        <v>48000</v>
      </c>
      <c r="M161" s="1">
        <v>45590</v>
      </c>
      <c r="N161" s="1">
        <v>45590</v>
      </c>
      <c r="O161" s="86">
        <v>4.0250000000000004</v>
      </c>
      <c r="P161" t="s">
        <v>32</v>
      </c>
      <c r="Q161">
        <v>1</v>
      </c>
      <c r="R161">
        <v>1</v>
      </c>
      <c r="S161">
        <v>1</v>
      </c>
      <c r="T161" s="89">
        <v>126</v>
      </c>
      <c r="U161">
        <v>2024</v>
      </c>
      <c r="V161" s="90">
        <v>45444</v>
      </c>
      <c r="W161" s="87">
        <v>195236.81100000002</v>
      </c>
      <c r="X161" s="87">
        <v>193200.00000000003</v>
      </c>
      <c r="Y161" s="87">
        <v>2036.8110000000038</v>
      </c>
    </row>
    <row r="162" spans="1:25">
      <c r="A162" t="s">
        <v>287</v>
      </c>
      <c r="B162" t="s">
        <v>26</v>
      </c>
      <c r="C162" t="s">
        <v>27</v>
      </c>
      <c r="D162" t="s">
        <v>28</v>
      </c>
      <c r="E162" t="s">
        <v>29</v>
      </c>
      <c r="F162" t="s">
        <v>149</v>
      </c>
      <c r="G162" t="s">
        <v>150</v>
      </c>
      <c r="H162" s="1">
        <v>45468</v>
      </c>
      <c r="I162" s="1">
        <v>45472</v>
      </c>
      <c r="J162" s="86">
        <v>28792.212</v>
      </c>
      <c r="K162" s="88">
        <v>121.67</v>
      </c>
      <c r="L162" s="88">
        <v>118</v>
      </c>
      <c r="M162" s="1">
        <v>45514</v>
      </c>
      <c r="N162" s="1">
        <v>45512</v>
      </c>
      <c r="O162" s="86">
        <v>25697.64</v>
      </c>
      <c r="P162" t="s">
        <v>32</v>
      </c>
      <c r="Q162">
        <v>1</v>
      </c>
      <c r="R162">
        <v>0</v>
      </c>
      <c r="S162">
        <v>0</v>
      </c>
      <c r="T162" s="89">
        <v>40</v>
      </c>
      <c r="U162">
        <v>2024</v>
      </c>
      <c r="V162" s="90">
        <v>45444</v>
      </c>
      <c r="W162" s="87">
        <v>3126631.8588</v>
      </c>
      <c r="X162" s="87">
        <v>3032321.52</v>
      </c>
      <c r="Y162" s="87">
        <v>94310.338800000041</v>
      </c>
    </row>
    <row r="163" spans="1:25">
      <c r="A163" t="s">
        <v>288</v>
      </c>
      <c r="B163" t="s">
        <v>60</v>
      </c>
      <c r="C163" t="s">
        <v>61</v>
      </c>
      <c r="D163" t="s">
        <v>49</v>
      </c>
      <c r="E163" t="s">
        <v>56</v>
      </c>
      <c r="F163" t="s">
        <v>57</v>
      </c>
      <c r="G163" t="s">
        <v>58</v>
      </c>
      <c r="H163" s="1">
        <v>45468</v>
      </c>
      <c r="I163" s="1">
        <v>45469</v>
      </c>
      <c r="J163" s="86">
        <v>2303.4969999999998</v>
      </c>
      <c r="K163" s="88">
        <v>413.56</v>
      </c>
      <c r="L163" s="88">
        <v>410</v>
      </c>
      <c r="M163" s="1">
        <v>45511</v>
      </c>
      <c r="N163" s="1">
        <v>45508</v>
      </c>
      <c r="O163" s="86">
        <v>2303.4969999999998</v>
      </c>
      <c r="P163" t="s">
        <v>32</v>
      </c>
      <c r="Q163">
        <v>1</v>
      </c>
      <c r="R163">
        <v>1</v>
      </c>
      <c r="S163">
        <v>1</v>
      </c>
      <c r="T163" s="89">
        <v>39</v>
      </c>
      <c r="U163">
        <v>2024</v>
      </c>
      <c r="V163" s="90">
        <v>45444</v>
      </c>
      <c r="W163" s="87">
        <v>952634.21931999992</v>
      </c>
      <c r="X163" s="87">
        <v>944433.7699999999</v>
      </c>
      <c r="Y163" s="87">
        <v>8200.4493200000052</v>
      </c>
    </row>
    <row r="164" spans="1:25">
      <c r="A164" t="s">
        <v>289</v>
      </c>
      <c r="B164" t="s">
        <v>63</v>
      </c>
      <c r="C164" t="s">
        <v>64</v>
      </c>
      <c r="D164" t="s">
        <v>49</v>
      </c>
      <c r="E164" t="s">
        <v>56</v>
      </c>
      <c r="F164" t="s">
        <v>65</v>
      </c>
      <c r="G164" t="s">
        <v>66</v>
      </c>
      <c r="H164" s="1">
        <v>45468</v>
      </c>
      <c r="I164" s="1">
        <v>45473</v>
      </c>
      <c r="J164" s="86">
        <v>3455.6770000000001</v>
      </c>
      <c r="K164" s="88">
        <v>159.34</v>
      </c>
      <c r="L164" s="88">
        <v>160</v>
      </c>
      <c r="M164" s="1">
        <v>45501</v>
      </c>
      <c r="N164" s="1">
        <v>45498</v>
      </c>
      <c r="O164" s="86">
        <v>3455.6770000000001</v>
      </c>
      <c r="P164" t="s">
        <v>32</v>
      </c>
      <c r="Q164">
        <v>1</v>
      </c>
      <c r="R164">
        <v>1</v>
      </c>
      <c r="S164">
        <v>1</v>
      </c>
      <c r="T164" s="89">
        <v>25</v>
      </c>
      <c r="U164">
        <v>2024</v>
      </c>
      <c r="V164" s="90">
        <v>45444</v>
      </c>
      <c r="W164" s="87">
        <v>550627.57318000006</v>
      </c>
      <c r="X164" s="87">
        <v>552908.32000000007</v>
      </c>
      <c r="Y164" s="87">
        <v>-2280.7468199999885</v>
      </c>
    </row>
    <row r="165" spans="1:25">
      <c r="A165" t="s">
        <v>290</v>
      </c>
      <c r="B165" t="s">
        <v>98</v>
      </c>
      <c r="C165" t="s">
        <v>99</v>
      </c>
      <c r="D165" t="s">
        <v>100</v>
      </c>
      <c r="E165" t="s">
        <v>101</v>
      </c>
      <c r="F165" t="s">
        <v>102</v>
      </c>
      <c r="G165" t="s">
        <v>103</v>
      </c>
      <c r="H165" s="1">
        <v>45468</v>
      </c>
      <c r="I165" s="1">
        <v>45470</v>
      </c>
      <c r="J165" s="86">
        <v>23.02</v>
      </c>
      <c r="K165" s="88">
        <v>6336.48</v>
      </c>
      <c r="L165" s="88">
        <v>6200</v>
      </c>
      <c r="M165" s="1">
        <v>45519</v>
      </c>
      <c r="N165" s="1">
        <v>45516</v>
      </c>
      <c r="O165" s="86">
        <v>23.02</v>
      </c>
      <c r="P165" t="s">
        <v>32</v>
      </c>
      <c r="Q165">
        <v>1</v>
      </c>
      <c r="R165">
        <v>1</v>
      </c>
      <c r="S165">
        <v>1</v>
      </c>
      <c r="T165" s="89">
        <v>46</v>
      </c>
      <c r="U165">
        <v>2024</v>
      </c>
      <c r="V165" s="90">
        <v>45444</v>
      </c>
      <c r="W165" s="87">
        <v>145865.7696</v>
      </c>
      <c r="X165" s="87">
        <v>142724</v>
      </c>
      <c r="Y165" s="87">
        <v>3141.7695999999901</v>
      </c>
    </row>
    <row r="166" spans="1:25">
      <c r="A166" t="s">
        <v>291</v>
      </c>
      <c r="B166" t="s">
        <v>134</v>
      </c>
      <c r="C166" t="s">
        <v>135</v>
      </c>
      <c r="D166" t="s">
        <v>136</v>
      </c>
      <c r="E166" t="s">
        <v>101</v>
      </c>
      <c r="F166" t="s">
        <v>137</v>
      </c>
      <c r="G166" t="s">
        <v>138</v>
      </c>
      <c r="H166" s="1">
        <v>45468</v>
      </c>
      <c r="I166" s="1">
        <v>45471</v>
      </c>
      <c r="J166" s="86">
        <v>73526.2</v>
      </c>
      <c r="K166" s="88">
        <v>6.6</v>
      </c>
      <c r="L166" s="88">
        <v>6.5</v>
      </c>
      <c r="M166" s="1">
        <v>45527</v>
      </c>
      <c r="N166" s="1">
        <v>45526</v>
      </c>
      <c r="O166" s="86">
        <v>73526.2</v>
      </c>
      <c r="P166" t="s">
        <v>32</v>
      </c>
      <c r="Q166">
        <v>1</v>
      </c>
      <c r="R166">
        <v>1</v>
      </c>
      <c r="S166">
        <v>1</v>
      </c>
      <c r="T166" s="89">
        <v>55</v>
      </c>
      <c r="U166">
        <v>2024</v>
      </c>
      <c r="V166" s="90">
        <v>45444</v>
      </c>
      <c r="W166" s="87">
        <v>485272.92</v>
      </c>
      <c r="X166" s="87">
        <v>477920.3</v>
      </c>
      <c r="Y166" s="87">
        <v>7352.6199999999735</v>
      </c>
    </row>
    <row r="167" spans="1:25">
      <c r="A167" t="s">
        <v>292</v>
      </c>
      <c r="B167" t="s">
        <v>86</v>
      </c>
      <c r="C167" t="s">
        <v>87</v>
      </c>
      <c r="D167" t="s">
        <v>88</v>
      </c>
      <c r="E167" t="s">
        <v>84</v>
      </c>
      <c r="F167" t="s">
        <v>89</v>
      </c>
      <c r="G167" t="s">
        <v>90</v>
      </c>
      <c r="H167" s="1">
        <v>45476</v>
      </c>
      <c r="I167" s="1">
        <v>45480</v>
      </c>
      <c r="J167" s="86">
        <v>17.265000000000001</v>
      </c>
      <c r="K167" s="88">
        <v>9703.7800000000007</v>
      </c>
      <c r="L167" s="88">
        <v>9500</v>
      </c>
      <c r="M167" s="1">
        <v>45543</v>
      </c>
      <c r="N167" s="1">
        <v>45543</v>
      </c>
      <c r="O167" s="86">
        <v>17.265000000000001</v>
      </c>
      <c r="P167" t="s">
        <v>32</v>
      </c>
      <c r="Q167">
        <v>1</v>
      </c>
      <c r="R167">
        <v>1</v>
      </c>
      <c r="S167">
        <v>1</v>
      </c>
      <c r="T167" s="89">
        <v>63</v>
      </c>
      <c r="U167">
        <v>2024</v>
      </c>
      <c r="V167" s="90">
        <v>45474</v>
      </c>
      <c r="W167" s="87">
        <v>167535.7617</v>
      </c>
      <c r="X167" s="87">
        <v>164017.5</v>
      </c>
      <c r="Y167" s="87">
        <v>3518.2617000000114</v>
      </c>
    </row>
    <row r="168" spans="1:25">
      <c r="A168" t="s">
        <v>293</v>
      </c>
      <c r="B168" t="s">
        <v>47</v>
      </c>
      <c r="C168" t="s">
        <v>48</v>
      </c>
      <c r="D168" t="s">
        <v>49</v>
      </c>
      <c r="E168" t="s">
        <v>50</v>
      </c>
      <c r="F168" t="s">
        <v>51</v>
      </c>
      <c r="G168" t="s">
        <v>52</v>
      </c>
      <c r="H168" s="1">
        <v>45481</v>
      </c>
      <c r="I168" s="1">
        <v>45483</v>
      </c>
      <c r="J168" s="86">
        <v>145.31800000000001</v>
      </c>
      <c r="K168" s="88">
        <v>1861.54</v>
      </c>
      <c r="L168" s="88">
        <v>1850</v>
      </c>
      <c r="M168" s="1">
        <v>45539</v>
      </c>
      <c r="N168" s="1">
        <v>45538</v>
      </c>
      <c r="O168" s="86">
        <v>145.31800000000001</v>
      </c>
      <c r="P168" t="s">
        <v>32</v>
      </c>
      <c r="Q168">
        <v>1</v>
      </c>
      <c r="R168">
        <v>1</v>
      </c>
      <c r="S168">
        <v>1</v>
      </c>
      <c r="T168" s="89">
        <v>55</v>
      </c>
      <c r="U168">
        <v>2024</v>
      </c>
      <c r="V168" s="90">
        <v>45474</v>
      </c>
      <c r="W168" s="87">
        <v>270515.26972000004</v>
      </c>
      <c r="X168" s="87">
        <v>268838.30000000005</v>
      </c>
      <c r="Y168" s="87">
        <v>1676.9697199999948</v>
      </c>
    </row>
    <row r="169" spans="1:25">
      <c r="A169" t="s">
        <v>294</v>
      </c>
      <c r="B169" t="s">
        <v>73</v>
      </c>
      <c r="C169" t="s">
        <v>74</v>
      </c>
      <c r="D169" t="s">
        <v>43</v>
      </c>
      <c r="E169" t="s">
        <v>37</v>
      </c>
      <c r="F169" t="s">
        <v>70</v>
      </c>
      <c r="G169" t="s">
        <v>71</v>
      </c>
      <c r="H169" s="1">
        <v>45482</v>
      </c>
      <c r="I169" s="1">
        <v>45487</v>
      </c>
      <c r="J169" s="86">
        <v>71997.441999999995</v>
      </c>
      <c r="K169" s="88">
        <v>6.88</v>
      </c>
      <c r="L169" s="88">
        <v>6.8</v>
      </c>
      <c r="M169" s="1">
        <v>45508</v>
      </c>
      <c r="N169" s="1">
        <v>45536</v>
      </c>
      <c r="O169" s="86">
        <v>71997.441999999995</v>
      </c>
      <c r="P169" t="s">
        <v>32</v>
      </c>
      <c r="Q169">
        <v>0</v>
      </c>
      <c r="R169">
        <v>1</v>
      </c>
      <c r="S169">
        <v>0</v>
      </c>
      <c r="T169" s="89">
        <v>49</v>
      </c>
      <c r="U169">
        <v>2024</v>
      </c>
      <c r="V169" s="90">
        <v>45474</v>
      </c>
      <c r="W169" s="87">
        <v>495342.40095999994</v>
      </c>
      <c r="X169" s="87">
        <v>489582.60559999995</v>
      </c>
      <c r="Y169" s="87">
        <v>5759.7953600000046</v>
      </c>
    </row>
    <row r="170" spans="1:25">
      <c r="A170" t="s">
        <v>295</v>
      </c>
      <c r="B170" t="s">
        <v>92</v>
      </c>
      <c r="C170" t="s">
        <v>93</v>
      </c>
      <c r="D170" t="s">
        <v>94</v>
      </c>
      <c r="E170" t="s">
        <v>56</v>
      </c>
      <c r="F170" t="s">
        <v>95</v>
      </c>
      <c r="G170" t="s">
        <v>96</v>
      </c>
      <c r="H170" s="1">
        <v>45482</v>
      </c>
      <c r="I170" s="1">
        <v>45484</v>
      </c>
      <c r="J170" s="86">
        <v>115.157</v>
      </c>
      <c r="K170" s="88">
        <v>3961.7</v>
      </c>
      <c r="L170" s="88">
        <v>3900</v>
      </c>
      <c r="M170" s="1">
        <v>45554</v>
      </c>
      <c r="N170" s="1">
        <v>45553</v>
      </c>
      <c r="O170" s="86">
        <v>115.157</v>
      </c>
      <c r="P170" t="s">
        <v>32</v>
      </c>
      <c r="Q170">
        <v>1</v>
      </c>
      <c r="R170">
        <v>1</v>
      </c>
      <c r="S170">
        <v>1</v>
      </c>
      <c r="T170" s="89">
        <v>69</v>
      </c>
      <c r="U170">
        <v>2024</v>
      </c>
      <c r="V170" s="90">
        <v>45474</v>
      </c>
      <c r="W170" s="87">
        <v>456217.48689999996</v>
      </c>
      <c r="X170" s="87">
        <v>449112.3</v>
      </c>
      <c r="Y170" s="87">
        <v>7105.1868999999788</v>
      </c>
    </row>
    <row r="171" spans="1:25">
      <c r="A171" t="s">
        <v>296</v>
      </c>
      <c r="B171" t="s">
        <v>117</v>
      </c>
      <c r="C171" t="s">
        <v>118</v>
      </c>
      <c r="D171" t="s">
        <v>119</v>
      </c>
      <c r="E171" t="s">
        <v>120</v>
      </c>
      <c r="F171" t="s">
        <v>121</v>
      </c>
      <c r="G171" t="s">
        <v>122</v>
      </c>
      <c r="H171" s="1">
        <v>45483</v>
      </c>
      <c r="I171" s="1">
        <v>45486</v>
      </c>
      <c r="J171" s="86">
        <v>15045192.352</v>
      </c>
      <c r="K171" s="88">
        <v>4.1000000000000003E-3</v>
      </c>
      <c r="L171" s="88">
        <v>4.0000000000000001E-3</v>
      </c>
      <c r="M171" s="1">
        <v>45521</v>
      </c>
      <c r="N171" s="1">
        <v>45521</v>
      </c>
      <c r="O171" s="86">
        <v>15045192.352</v>
      </c>
      <c r="P171" t="s">
        <v>32</v>
      </c>
      <c r="Q171">
        <v>1</v>
      </c>
      <c r="R171">
        <v>1</v>
      </c>
      <c r="S171">
        <v>1</v>
      </c>
      <c r="T171" s="89">
        <v>35</v>
      </c>
      <c r="U171">
        <v>2024</v>
      </c>
      <c r="V171" s="90">
        <v>45474</v>
      </c>
      <c r="W171" s="87">
        <v>61685.288643200001</v>
      </c>
      <c r="X171" s="87">
        <v>60180.769408</v>
      </c>
      <c r="Y171" s="87">
        <v>1504.519235200004</v>
      </c>
    </row>
    <row r="172" spans="1:25">
      <c r="A172" t="s">
        <v>297</v>
      </c>
      <c r="B172" t="s">
        <v>124</v>
      </c>
      <c r="C172" t="s">
        <v>125</v>
      </c>
      <c r="D172" t="s">
        <v>119</v>
      </c>
      <c r="E172" t="s">
        <v>126</v>
      </c>
      <c r="F172" t="s">
        <v>121</v>
      </c>
      <c r="G172" t="s">
        <v>122</v>
      </c>
      <c r="H172" s="1">
        <v>45482</v>
      </c>
      <c r="I172" s="1">
        <v>45488</v>
      </c>
      <c r="J172" s="86">
        <v>8779903.1740000006</v>
      </c>
      <c r="K172" s="88">
        <v>0.02</v>
      </c>
      <c r="L172" s="88">
        <v>0.02</v>
      </c>
      <c r="M172" s="1">
        <v>45523</v>
      </c>
      <c r="N172" s="1">
        <v>45522</v>
      </c>
      <c r="O172" s="86">
        <v>8779903.1740000006</v>
      </c>
      <c r="P172" t="s">
        <v>32</v>
      </c>
      <c r="Q172">
        <v>1</v>
      </c>
      <c r="R172">
        <v>1</v>
      </c>
      <c r="S172">
        <v>1</v>
      </c>
      <c r="T172" s="89">
        <v>34</v>
      </c>
      <c r="U172">
        <v>2024</v>
      </c>
      <c r="V172" s="90">
        <v>45474</v>
      </c>
      <c r="W172" s="87">
        <v>175598.06348000001</v>
      </c>
      <c r="X172" s="87">
        <v>175598.06348000001</v>
      </c>
      <c r="Y172" s="87">
        <v>0</v>
      </c>
    </row>
    <row r="173" spans="1:25">
      <c r="A173" t="s">
        <v>298</v>
      </c>
      <c r="B173" t="s">
        <v>140</v>
      </c>
      <c r="C173" t="s">
        <v>141</v>
      </c>
      <c r="D173" t="s">
        <v>142</v>
      </c>
      <c r="E173" t="s">
        <v>84</v>
      </c>
      <c r="F173" t="s">
        <v>143</v>
      </c>
      <c r="G173" t="s">
        <v>144</v>
      </c>
      <c r="H173" s="1">
        <v>45482</v>
      </c>
      <c r="I173" s="1">
        <v>45485</v>
      </c>
      <c r="J173" s="86">
        <v>25125656.653999999</v>
      </c>
      <c r="K173" s="88">
        <v>1.21E-2</v>
      </c>
      <c r="L173" s="88">
        <v>1.2E-2</v>
      </c>
      <c r="M173" s="1">
        <v>45499</v>
      </c>
      <c r="N173" s="1">
        <v>45498</v>
      </c>
      <c r="O173" s="86">
        <v>25125656.653999999</v>
      </c>
      <c r="P173" t="s">
        <v>32</v>
      </c>
      <c r="Q173">
        <v>1</v>
      </c>
      <c r="R173">
        <v>1</v>
      </c>
      <c r="S173">
        <v>1</v>
      </c>
      <c r="T173" s="89">
        <v>13</v>
      </c>
      <c r="U173">
        <v>2024</v>
      </c>
      <c r="V173" s="90">
        <v>45474</v>
      </c>
      <c r="W173" s="87">
        <v>304020.44551339996</v>
      </c>
      <c r="X173" s="87">
        <v>301507.87984800001</v>
      </c>
      <c r="Y173" s="87">
        <v>2512.5656653999849</v>
      </c>
    </row>
    <row r="174" spans="1:25">
      <c r="A174" t="s">
        <v>299</v>
      </c>
      <c r="B174" t="s">
        <v>34</v>
      </c>
      <c r="C174" t="s">
        <v>35</v>
      </c>
      <c r="D174" t="s">
        <v>36</v>
      </c>
      <c r="E174" t="s">
        <v>37</v>
      </c>
      <c r="F174" t="s">
        <v>38</v>
      </c>
      <c r="G174" t="s">
        <v>39</v>
      </c>
      <c r="H174" s="1">
        <v>45490</v>
      </c>
      <c r="I174" s="1">
        <v>45492</v>
      </c>
      <c r="J174" s="86">
        <v>1007.125</v>
      </c>
      <c r="K174" s="88">
        <v>2435.1999999999998</v>
      </c>
      <c r="L174" s="88">
        <v>2400</v>
      </c>
      <c r="M174" s="1">
        <v>45562</v>
      </c>
      <c r="N174" s="1">
        <v>45561</v>
      </c>
      <c r="O174" s="86">
        <v>1007.125</v>
      </c>
      <c r="P174" t="s">
        <v>32</v>
      </c>
      <c r="Q174">
        <v>1</v>
      </c>
      <c r="R174">
        <v>1</v>
      </c>
      <c r="S174">
        <v>1</v>
      </c>
      <c r="T174" s="89">
        <v>69</v>
      </c>
      <c r="U174">
        <v>2024</v>
      </c>
      <c r="V174" s="90">
        <v>45474</v>
      </c>
      <c r="W174" s="87">
        <v>2452550.7999999998</v>
      </c>
      <c r="X174" s="87">
        <v>2417100</v>
      </c>
      <c r="Y174" s="87">
        <v>35450.799999999814</v>
      </c>
    </row>
    <row r="175" spans="1:25">
      <c r="A175" t="s">
        <v>300</v>
      </c>
      <c r="B175" t="s">
        <v>41</v>
      </c>
      <c r="C175" t="s">
        <v>42</v>
      </c>
      <c r="D175" t="s">
        <v>43</v>
      </c>
      <c r="E175" t="s">
        <v>37</v>
      </c>
      <c r="F175" t="s">
        <v>44</v>
      </c>
      <c r="G175" t="s">
        <v>45</v>
      </c>
      <c r="H175" s="1">
        <v>45489</v>
      </c>
      <c r="I175" s="1">
        <v>45492</v>
      </c>
      <c r="J175" s="86">
        <v>51810.536999999997</v>
      </c>
      <c r="K175" s="88">
        <v>9.76</v>
      </c>
      <c r="L175" s="88">
        <v>9.5</v>
      </c>
      <c r="M175" s="1">
        <v>45513</v>
      </c>
      <c r="N175" s="1">
        <v>45510</v>
      </c>
      <c r="O175" s="86">
        <v>51810.536999999997</v>
      </c>
      <c r="P175" t="s">
        <v>32</v>
      </c>
      <c r="Q175">
        <v>1</v>
      </c>
      <c r="R175">
        <v>1</v>
      </c>
      <c r="S175">
        <v>1</v>
      </c>
      <c r="T175" s="89">
        <v>18</v>
      </c>
      <c r="U175">
        <v>2024</v>
      </c>
      <c r="V175" s="90">
        <v>45474</v>
      </c>
      <c r="W175" s="87">
        <v>505670.84111999994</v>
      </c>
      <c r="X175" s="87">
        <v>492200.10149999999</v>
      </c>
      <c r="Y175" s="87">
        <v>13470.739619999988</v>
      </c>
    </row>
    <row r="176" spans="1:25">
      <c r="A176" t="s">
        <v>301</v>
      </c>
      <c r="B176" t="s">
        <v>76</v>
      </c>
      <c r="C176" t="s">
        <v>77</v>
      </c>
      <c r="D176" t="s">
        <v>78</v>
      </c>
      <c r="E176" t="s">
        <v>37</v>
      </c>
      <c r="F176" t="s">
        <v>79</v>
      </c>
      <c r="G176" t="s">
        <v>80</v>
      </c>
      <c r="H176" s="1">
        <v>45489</v>
      </c>
      <c r="I176" s="1">
        <v>45492</v>
      </c>
      <c r="J176" s="86">
        <v>14421.433999999999</v>
      </c>
      <c r="K176" s="88">
        <v>38.950000000000003</v>
      </c>
      <c r="L176" s="88">
        <v>38</v>
      </c>
      <c r="M176" s="1">
        <v>45527</v>
      </c>
      <c r="N176" s="1">
        <v>45524</v>
      </c>
      <c r="O176" s="86">
        <v>14421.433999999999</v>
      </c>
      <c r="P176" t="s">
        <v>32</v>
      </c>
      <c r="Q176">
        <v>1</v>
      </c>
      <c r="R176">
        <v>1</v>
      </c>
      <c r="S176">
        <v>1</v>
      </c>
      <c r="T176" s="89">
        <v>32</v>
      </c>
      <c r="U176">
        <v>2024</v>
      </c>
      <c r="V176" s="90">
        <v>45474</v>
      </c>
      <c r="W176" s="87">
        <v>561714.85430000001</v>
      </c>
      <c r="X176" s="87">
        <v>548014.49199999997</v>
      </c>
      <c r="Y176" s="87">
        <v>13700.362300000041</v>
      </c>
    </row>
    <row r="177" spans="1:25">
      <c r="A177" t="s">
        <v>302</v>
      </c>
      <c r="B177" t="s">
        <v>111</v>
      </c>
      <c r="C177" t="s">
        <v>112</v>
      </c>
      <c r="D177" t="s">
        <v>113</v>
      </c>
      <c r="E177" t="s">
        <v>84</v>
      </c>
      <c r="F177" t="s">
        <v>114</v>
      </c>
      <c r="G177" t="s">
        <v>115</v>
      </c>
      <c r="H177" s="1">
        <v>45488</v>
      </c>
      <c r="I177" s="1">
        <v>45490</v>
      </c>
      <c r="J177" s="86">
        <v>24366956.179000001</v>
      </c>
      <c r="K177" s="88">
        <v>0.1116</v>
      </c>
      <c r="L177" s="88">
        <v>0.11</v>
      </c>
      <c r="M177" s="1">
        <v>45560</v>
      </c>
      <c r="N177" s="1">
        <v>45560</v>
      </c>
      <c r="O177" s="86">
        <v>24366956.179000001</v>
      </c>
      <c r="P177" t="s">
        <v>32</v>
      </c>
      <c r="Q177">
        <v>1</v>
      </c>
      <c r="R177">
        <v>1</v>
      </c>
      <c r="S177">
        <v>1</v>
      </c>
      <c r="T177" s="89">
        <v>70</v>
      </c>
      <c r="U177">
        <v>2024</v>
      </c>
      <c r="V177" s="90">
        <v>45474</v>
      </c>
      <c r="W177" s="87">
        <v>2719352.3095764001</v>
      </c>
      <c r="X177" s="87">
        <v>2680365.1796900001</v>
      </c>
      <c r="Y177" s="87">
        <v>38987.129886400107</v>
      </c>
    </row>
    <row r="178" spans="1:25">
      <c r="A178" t="s">
        <v>303</v>
      </c>
      <c r="B178" t="s">
        <v>54</v>
      </c>
      <c r="C178" t="s">
        <v>55</v>
      </c>
      <c r="D178" t="s">
        <v>49</v>
      </c>
      <c r="E178" t="s">
        <v>56</v>
      </c>
      <c r="F178" t="s">
        <v>57</v>
      </c>
      <c r="G178" t="s">
        <v>58</v>
      </c>
      <c r="H178" s="1">
        <v>45495</v>
      </c>
      <c r="I178" s="1">
        <v>45499</v>
      </c>
      <c r="J178" s="86">
        <v>24108.215</v>
      </c>
      <c r="K178" s="88">
        <v>28.31</v>
      </c>
      <c r="L178" s="88">
        <v>28</v>
      </c>
      <c r="M178" s="1">
        <v>45541</v>
      </c>
      <c r="N178" s="1">
        <v>45538</v>
      </c>
      <c r="O178" s="86">
        <v>24108.215</v>
      </c>
      <c r="P178" t="s">
        <v>32</v>
      </c>
      <c r="Q178">
        <v>1</v>
      </c>
      <c r="R178">
        <v>1</v>
      </c>
      <c r="S178">
        <v>1</v>
      </c>
      <c r="T178" s="89">
        <v>39</v>
      </c>
      <c r="U178">
        <v>2024</v>
      </c>
      <c r="V178" s="90">
        <v>45474</v>
      </c>
      <c r="W178" s="87">
        <v>682503.56664999994</v>
      </c>
      <c r="X178" s="87">
        <v>675030.02</v>
      </c>
      <c r="Y178" s="87">
        <v>7473.5466499999693</v>
      </c>
    </row>
    <row r="179" spans="1:25">
      <c r="A179" t="s">
        <v>304</v>
      </c>
      <c r="B179" t="s">
        <v>82</v>
      </c>
      <c r="C179" t="s">
        <v>83</v>
      </c>
      <c r="D179" t="s">
        <v>78</v>
      </c>
      <c r="E179" t="s">
        <v>84</v>
      </c>
      <c r="F179" t="s">
        <v>79</v>
      </c>
      <c r="G179" t="s">
        <v>80</v>
      </c>
      <c r="H179" s="1">
        <v>45497</v>
      </c>
      <c r="I179" s="1">
        <v>45500</v>
      </c>
      <c r="J179" s="86">
        <v>345.04199999999997</v>
      </c>
      <c r="K179" s="88">
        <v>533.54999999999995</v>
      </c>
      <c r="L179" s="88">
        <v>520</v>
      </c>
      <c r="M179" s="1">
        <v>45535</v>
      </c>
      <c r="N179" s="1">
        <v>45534</v>
      </c>
      <c r="O179" s="86">
        <v>345.04199999999997</v>
      </c>
      <c r="P179" t="s">
        <v>32</v>
      </c>
      <c r="Q179">
        <v>1</v>
      </c>
      <c r="R179">
        <v>1</v>
      </c>
      <c r="S179">
        <v>1</v>
      </c>
      <c r="T179" s="89">
        <v>34</v>
      </c>
      <c r="U179">
        <v>2024</v>
      </c>
      <c r="V179" s="90">
        <v>45474</v>
      </c>
      <c r="W179" s="87">
        <v>184097.15909999996</v>
      </c>
      <c r="X179" s="87">
        <v>179421.84</v>
      </c>
      <c r="Y179" s="87">
        <v>4675.3190999999842</v>
      </c>
    </row>
    <row r="180" spans="1:25">
      <c r="A180" t="s">
        <v>305</v>
      </c>
      <c r="B180" t="s">
        <v>105</v>
      </c>
      <c r="C180" t="s">
        <v>106</v>
      </c>
      <c r="D180" t="s">
        <v>107</v>
      </c>
      <c r="E180" t="s">
        <v>101</v>
      </c>
      <c r="F180" t="s">
        <v>108</v>
      </c>
      <c r="G180" t="s">
        <v>109</v>
      </c>
      <c r="H180" s="1">
        <v>45496</v>
      </c>
      <c r="I180" s="1">
        <v>45498</v>
      </c>
      <c r="J180" s="86">
        <v>3</v>
      </c>
      <c r="K180" s="88">
        <v>49791.91</v>
      </c>
      <c r="L180" s="88">
        <v>48000</v>
      </c>
      <c r="M180" s="1">
        <v>45624</v>
      </c>
      <c r="N180" s="1">
        <v>45624</v>
      </c>
      <c r="O180" s="86">
        <v>2.7909999999999999</v>
      </c>
      <c r="P180" t="s">
        <v>32</v>
      </c>
      <c r="Q180">
        <v>1</v>
      </c>
      <c r="R180">
        <v>0</v>
      </c>
      <c r="S180">
        <v>0</v>
      </c>
      <c r="T180" s="89">
        <v>126</v>
      </c>
      <c r="U180">
        <v>2024</v>
      </c>
      <c r="V180" s="90">
        <v>45474</v>
      </c>
      <c r="W180" s="87">
        <v>138969.22081</v>
      </c>
      <c r="X180" s="87">
        <v>133968</v>
      </c>
      <c r="Y180" s="87">
        <v>5001.2208100000098</v>
      </c>
    </row>
    <row r="181" spans="1:25">
      <c r="A181" t="s">
        <v>306</v>
      </c>
      <c r="B181" t="s">
        <v>60</v>
      </c>
      <c r="C181" t="s">
        <v>61</v>
      </c>
      <c r="D181" t="s">
        <v>49</v>
      </c>
      <c r="E181" t="s">
        <v>56</v>
      </c>
      <c r="F181" t="s">
        <v>57</v>
      </c>
      <c r="G181" t="s">
        <v>58</v>
      </c>
      <c r="H181" s="1">
        <v>45502</v>
      </c>
      <c r="I181" s="1">
        <v>45505</v>
      </c>
      <c r="J181" s="86">
        <v>1924.7270000000001</v>
      </c>
      <c r="K181" s="88">
        <v>416.17</v>
      </c>
      <c r="L181" s="88">
        <v>410</v>
      </c>
      <c r="M181" s="1">
        <v>45547</v>
      </c>
      <c r="N181" s="1">
        <v>45544</v>
      </c>
      <c r="O181" s="86">
        <v>1924.7270000000001</v>
      </c>
      <c r="P181" t="s">
        <v>32</v>
      </c>
      <c r="Q181">
        <v>1</v>
      </c>
      <c r="R181">
        <v>1</v>
      </c>
      <c r="S181">
        <v>1</v>
      </c>
      <c r="T181" s="89">
        <v>39</v>
      </c>
      <c r="U181">
        <v>2024</v>
      </c>
      <c r="V181" s="90">
        <v>45505</v>
      </c>
      <c r="W181" s="87">
        <v>801013.63559000008</v>
      </c>
      <c r="X181" s="87">
        <v>789138.07000000007</v>
      </c>
      <c r="Y181" s="87">
        <v>11875.565590000031</v>
      </c>
    </row>
    <row r="182" spans="1:25">
      <c r="A182" t="s">
        <v>307</v>
      </c>
      <c r="B182" t="s">
        <v>68</v>
      </c>
      <c r="C182" t="s">
        <v>69</v>
      </c>
      <c r="D182" t="s">
        <v>43</v>
      </c>
      <c r="E182" t="s">
        <v>37</v>
      </c>
      <c r="F182" t="s">
        <v>44</v>
      </c>
      <c r="G182" t="s">
        <v>45</v>
      </c>
      <c r="H182" s="1">
        <v>45504</v>
      </c>
      <c r="I182" s="1">
        <v>45510</v>
      </c>
      <c r="J182" s="86">
        <v>172525.84</v>
      </c>
      <c r="K182" s="88">
        <v>4.37</v>
      </c>
      <c r="L182" s="88">
        <v>4.2</v>
      </c>
      <c r="M182" s="1">
        <v>45531</v>
      </c>
      <c r="N182" s="1">
        <v>45529</v>
      </c>
      <c r="O182" s="86">
        <v>172525.84</v>
      </c>
      <c r="P182" t="s">
        <v>32</v>
      </c>
      <c r="Q182">
        <v>1</v>
      </c>
      <c r="R182">
        <v>1</v>
      </c>
      <c r="S182">
        <v>1</v>
      </c>
      <c r="T182" s="89">
        <v>19</v>
      </c>
      <c r="U182">
        <v>2024</v>
      </c>
      <c r="V182" s="90">
        <v>45505</v>
      </c>
      <c r="W182" s="87">
        <v>753937.92079999996</v>
      </c>
      <c r="X182" s="87">
        <v>724608.52800000005</v>
      </c>
      <c r="Y182" s="87">
        <v>29329.392799999987</v>
      </c>
    </row>
    <row r="183" spans="1:25">
      <c r="A183" t="s">
        <v>308</v>
      </c>
      <c r="B183" t="s">
        <v>134</v>
      </c>
      <c r="C183" t="s">
        <v>135</v>
      </c>
      <c r="D183" t="s">
        <v>136</v>
      </c>
      <c r="E183" t="s">
        <v>101</v>
      </c>
      <c r="F183" t="s">
        <v>137</v>
      </c>
      <c r="G183" t="s">
        <v>138</v>
      </c>
      <c r="H183" s="1">
        <v>45502</v>
      </c>
      <c r="I183" s="1">
        <v>45507</v>
      </c>
      <c r="J183" s="86">
        <v>70033.728000000003</v>
      </c>
      <c r="K183" s="88">
        <v>6.61</v>
      </c>
      <c r="L183" s="88">
        <v>6.5</v>
      </c>
      <c r="M183" s="1">
        <v>45563</v>
      </c>
      <c r="N183" s="1">
        <v>45561</v>
      </c>
      <c r="O183" s="86">
        <v>70033.728000000003</v>
      </c>
      <c r="P183" t="s">
        <v>32</v>
      </c>
      <c r="Q183">
        <v>1</v>
      </c>
      <c r="R183">
        <v>1</v>
      </c>
      <c r="S183">
        <v>1</v>
      </c>
      <c r="T183" s="89">
        <v>54</v>
      </c>
      <c r="U183">
        <v>2024</v>
      </c>
      <c r="V183" s="90">
        <v>45505</v>
      </c>
      <c r="W183" s="87">
        <v>462922.94208000007</v>
      </c>
      <c r="X183" s="87">
        <v>455219.23200000002</v>
      </c>
      <c r="Y183" s="87">
        <v>7703.7100800000226</v>
      </c>
    </row>
    <row r="184" spans="1:25">
      <c r="A184" t="s">
        <v>309</v>
      </c>
      <c r="B184" t="s">
        <v>26</v>
      </c>
      <c r="C184" t="s">
        <v>27</v>
      </c>
      <c r="D184" t="s">
        <v>28</v>
      </c>
      <c r="E184" t="s">
        <v>29</v>
      </c>
      <c r="F184" t="s">
        <v>30</v>
      </c>
      <c r="G184" t="s">
        <v>31</v>
      </c>
      <c r="H184" s="1">
        <v>45509</v>
      </c>
      <c r="I184" s="1">
        <v>45510</v>
      </c>
      <c r="J184" s="86">
        <v>31906.238000000001</v>
      </c>
      <c r="K184" s="88">
        <v>124.51</v>
      </c>
      <c r="L184" s="88">
        <v>118</v>
      </c>
      <c r="M184" s="1">
        <v>45552</v>
      </c>
      <c r="N184" s="1">
        <v>45556</v>
      </c>
      <c r="O184" s="86">
        <v>31906.238000000001</v>
      </c>
      <c r="P184" t="s">
        <v>32</v>
      </c>
      <c r="Q184">
        <v>0</v>
      </c>
      <c r="R184">
        <v>1</v>
      </c>
      <c r="S184">
        <v>0</v>
      </c>
      <c r="T184" s="89">
        <v>46</v>
      </c>
      <c r="U184">
        <v>2024</v>
      </c>
      <c r="V184" s="90">
        <v>45505</v>
      </c>
      <c r="W184" s="87">
        <v>3972645.6933800005</v>
      </c>
      <c r="X184" s="87">
        <v>3764936.0840000003</v>
      </c>
      <c r="Y184" s="87">
        <v>207709.60938000018</v>
      </c>
    </row>
    <row r="185" spans="1:25">
      <c r="A185" t="s">
        <v>310</v>
      </c>
      <c r="B185" t="s">
        <v>63</v>
      </c>
      <c r="C185" t="s">
        <v>64</v>
      </c>
      <c r="D185" t="s">
        <v>49</v>
      </c>
      <c r="E185" t="s">
        <v>56</v>
      </c>
      <c r="F185" t="s">
        <v>65</v>
      </c>
      <c r="G185" t="s">
        <v>66</v>
      </c>
      <c r="H185" s="1">
        <v>45510</v>
      </c>
      <c r="I185" s="1">
        <v>45512</v>
      </c>
      <c r="J185" s="86">
        <v>3451.7570000000001</v>
      </c>
      <c r="K185" s="88">
        <v>158.88</v>
      </c>
      <c r="L185" s="88">
        <v>160</v>
      </c>
      <c r="M185" s="1">
        <v>45540</v>
      </c>
      <c r="N185" s="1">
        <v>45538</v>
      </c>
      <c r="O185" s="86">
        <v>3451.7570000000001</v>
      </c>
      <c r="P185" t="s">
        <v>32</v>
      </c>
      <c r="Q185">
        <v>1</v>
      </c>
      <c r="R185">
        <v>1</v>
      </c>
      <c r="S185">
        <v>1</v>
      </c>
      <c r="T185" s="89">
        <v>26</v>
      </c>
      <c r="U185">
        <v>2024</v>
      </c>
      <c r="V185" s="90">
        <v>45505</v>
      </c>
      <c r="W185" s="87">
        <v>548415.15215999994</v>
      </c>
      <c r="X185" s="87">
        <v>552281.12</v>
      </c>
      <c r="Y185" s="87">
        <v>-3865.9678400000157</v>
      </c>
    </row>
    <row r="186" spans="1:25">
      <c r="A186" t="s">
        <v>311</v>
      </c>
      <c r="B186" t="s">
        <v>98</v>
      </c>
      <c r="C186" t="s">
        <v>99</v>
      </c>
      <c r="D186" t="s">
        <v>100</v>
      </c>
      <c r="E186" t="s">
        <v>101</v>
      </c>
      <c r="F186" t="s">
        <v>102</v>
      </c>
      <c r="G186" t="s">
        <v>103</v>
      </c>
      <c r="H186" s="1">
        <v>45510</v>
      </c>
      <c r="I186" s="1">
        <v>45513</v>
      </c>
      <c r="J186" s="86">
        <v>23</v>
      </c>
      <c r="K186" s="88">
        <v>6262.12</v>
      </c>
      <c r="L186" s="88">
        <v>6200</v>
      </c>
      <c r="M186" s="1">
        <v>45562</v>
      </c>
      <c r="N186" s="1">
        <v>45561</v>
      </c>
      <c r="O186" s="86">
        <v>23</v>
      </c>
      <c r="P186" t="s">
        <v>32</v>
      </c>
      <c r="Q186">
        <v>1</v>
      </c>
      <c r="R186">
        <v>1</v>
      </c>
      <c r="S186">
        <v>1</v>
      </c>
      <c r="T186" s="89">
        <v>48</v>
      </c>
      <c r="U186">
        <v>2024</v>
      </c>
      <c r="V186" s="90">
        <v>45505</v>
      </c>
      <c r="W186" s="87">
        <v>144028.76</v>
      </c>
      <c r="X186" s="87">
        <v>142600</v>
      </c>
      <c r="Y186" s="87">
        <v>1428.7599999999975</v>
      </c>
    </row>
    <row r="187" spans="1:25">
      <c r="A187" t="s">
        <v>312</v>
      </c>
      <c r="B187" t="s">
        <v>47</v>
      </c>
      <c r="C187" t="s">
        <v>48</v>
      </c>
      <c r="D187" t="s">
        <v>49</v>
      </c>
      <c r="E187" t="s">
        <v>50</v>
      </c>
      <c r="F187" t="s">
        <v>51</v>
      </c>
      <c r="G187" t="s">
        <v>52</v>
      </c>
      <c r="H187" s="1">
        <v>45518</v>
      </c>
      <c r="I187" s="1">
        <v>45522</v>
      </c>
      <c r="J187" s="86">
        <v>144.72200000000001</v>
      </c>
      <c r="K187" s="88">
        <v>1871.61</v>
      </c>
      <c r="L187" s="88">
        <v>1850</v>
      </c>
      <c r="M187" s="1">
        <v>45578</v>
      </c>
      <c r="N187" s="1">
        <v>45576</v>
      </c>
      <c r="O187" s="86">
        <v>144.72200000000001</v>
      </c>
      <c r="P187" t="s">
        <v>32</v>
      </c>
      <c r="Q187">
        <v>1</v>
      </c>
      <c r="R187">
        <v>1</v>
      </c>
      <c r="S187">
        <v>1</v>
      </c>
      <c r="T187" s="89">
        <v>54</v>
      </c>
      <c r="U187">
        <v>2024</v>
      </c>
      <c r="V187" s="90">
        <v>45505</v>
      </c>
      <c r="W187" s="87">
        <v>270863.14241999999</v>
      </c>
      <c r="X187" s="87">
        <v>267735.7</v>
      </c>
      <c r="Y187" s="87">
        <v>3127.4424199999858</v>
      </c>
    </row>
    <row r="188" spans="1:25">
      <c r="A188" t="s">
        <v>313</v>
      </c>
      <c r="B188" t="s">
        <v>86</v>
      </c>
      <c r="C188" t="s">
        <v>87</v>
      </c>
      <c r="D188" t="s">
        <v>88</v>
      </c>
      <c r="E188" t="s">
        <v>84</v>
      </c>
      <c r="F188" t="s">
        <v>89</v>
      </c>
      <c r="G188" t="s">
        <v>90</v>
      </c>
      <c r="H188" s="1">
        <v>45516</v>
      </c>
      <c r="I188" s="1">
        <v>45523</v>
      </c>
      <c r="J188" s="86">
        <v>17.234999999999999</v>
      </c>
      <c r="K188" s="88">
        <v>9645.6</v>
      </c>
      <c r="L188" s="88">
        <v>9500</v>
      </c>
      <c r="M188" s="1">
        <v>45586</v>
      </c>
      <c r="N188" s="1">
        <v>45584</v>
      </c>
      <c r="O188" s="86">
        <v>17.234999999999999</v>
      </c>
      <c r="P188" t="s">
        <v>32</v>
      </c>
      <c r="Q188">
        <v>1</v>
      </c>
      <c r="R188">
        <v>1</v>
      </c>
      <c r="S188">
        <v>1</v>
      </c>
      <c r="T188" s="89">
        <v>61</v>
      </c>
      <c r="U188">
        <v>2024</v>
      </c>
      <c r="V188" s="90">
        <v>45505</v>
      </c>
      <c r="W188" s="87">
        <v>166241.916</v>
      </c>
      <c r="X188" s="87">
        <v>163732.5</v>
      </c>
      <c r="Y188" s="87">
        <v>2509.4160000000061</v>
      </c>
    </row>
    <row r="189" spans="1:25">
      <c r="A189" t="s">
        <v>314</v>
      </c>
      <c r="B189" t="s">
        <v>105</v>
      </c>
      <c r="C189" t="s">
        <v>106</v>
      </c>
      <c r="D189" t="s">
        <v>107</v>
      </c>
      <c r="E189" t="s">
        <v>101</v>
      </c>
      <c r="F189" t="s">
        <v>108</v>
      </c>
      <c r="G189" t="s">
        <v>109</v>
      </c>
      <c r="H189" s="1">
        <v>45517</v>
      </c>
      <c r="I189" s="1">
        <v>45518</v>
      </c>
      <c r="J189" s="86">
        <v>3</v>
      </c>
      <c r="K189" s="88">
        <v>48841.36</v>
      </c>
      <c r="L189" s="88">
        <v>48000</v>
      </c>
      <c r="M189" s="1">
        <v>45644</v>
      </c>
      <c r="N189" s="1">
        <v>45641</v>
      </c>
      <c r="O189" s="86">
        <v>3</v>
      </c>
      <c r="P189" t="s">
        <v>32</v>
      </c>
      <c r="Q189">
        <v>1</v>
      </c>
      <c r="R189">
        <v>1</v>
      </c>
      <c r="S189">
        <v>1</v>
      </c>
      <c r="T189" s="89">
        <v>123</v>
      </c>
      <c r="U189">
        <v>2024</v>
      </c>
      <c r="V189" s="90">
        <v>45505</v>
      </c>
      <c r="W189" s="87">
        <v>146524.08000000002</v>
      </c>
      <c r="X189" s="87">
        <v>144000</v>
      </c>
      <c r="Y189" s="87">
        <v>2524.0800000000017</v>
      </c>
    </row>
    <row r="190" spans="1:25">
      <c r="A190" t="s">
        <v>315</v>
      </c>
      <c r="B190" t="s">
        <v>117</v>
      </c>
      <c r="C190" t="s">
        <v>118</v>
      </c>
      <c r="D190" t="s">
        <v>119</v>
      </c>
      <c r="E190" t="s">
        <v>120</v>
      </c>
      <c r="F190" t="s">
        <v>121</v>
      </c>
      <c r="G190" t="s">
        <v>122</v>
      </c>
      <c r="H190" s="1">
        <v>45518</v>
      </c>
      <c r="I190" s="1">
        <v>45520</v>
      </c>
      <c r="J190" s="86">
        <v>14336298.893999999</v>
      </c>
      <c r="K190" s="88">
        <v>4.0000000000000001E-3</v>
      </c>
      <c r="L190" s="88">
        <v>4.0000000000000001E-3</v>
      </c>
      <c r="M190" s="1">
        <v>45555</v>
      </c>
      <c r="N190" s="1">
        <v>45554</v>
      </c>
      <c r="O190" s="86">
        <v>14336298.893999999</v>
      </c>
      <c r="P190" t="s">
        <v>32</v>
      </c>
      <c r="Q190">
        <v>1</v>
      </c>
      <c r="R190">
        <v>1</v>
      </c>
      <c r="S190">
        <v>1</v>
      </c>
      <c r="T190" s="89">
        <v>34</v>
      </c>
      <c r="U190">
        <v>2024</v>
      </c>
      <c r="V190" s="90">
        <v>45505</v>
      </c>
      <c r="W190" s="87">
        <v>57345.195575999998</v>
      </c>
      <c r="X190" s="87">
        <v>57345.195575999998</v>
      </c>
      <c r="Y190" s="87">
        <v>0</v>
      </c>
    </row>
    <row r="191" spans="1:25">
      <c r="A191" t="s">
        <v>316</v>
      </c>
      <c r="B191" t="s">
        <v>124</v>
      </c>
      <c r="C191" t="s">
        <v>125</v>
      </c>
      <c r="D191" t="s">
        <v>119</v>
      </c>
      <c r="E191" t="s">
        <v>126</v>
      </c>
      <c r="F191" t="s">
        <v>121</v>
      </c>
      <c r="G191" t="s">
        <v>122</v>
      </c>
      <c r="H191" s="1">
        <v>45518</v>
      </c>
      <c r="I191" s="1">
        <v>45520</v>
      </c>
      <c r="J191" s="86">
        <v>8349773.2539999997</v>
      </c>
      <c r="K191" s="88">
        <v>2.0199999999999999E-2</v>
      </c>
      <c r="L191" s="88">
        <v>0.02</v>
      </c>
      <c r="M191" s="1">
        <v>45555</v>
      </c>
      <c r="N191" s="1">
        <v>45554</v>
      </c>
      <c r="O191" s="86">
        <v>8349773.2539999997</v>
      </c>
      <c r="P191" t="s">
        <v>32</v>
      </c>
      <c r="Q191">
        <v>1</v>
      </c>
      <c r="R191">
        <v>1</v>
      </c>
      <c r="S191">
        <v>1</v>
      </c>
      <c r="T191" s="89">
        <v>34</v>
      </c>
      <c r="U191">
        <v>2024</v>
      </c>
      <c r="V191" s="90">
        <v>45505</v>
      </c>
      <c r="W191" s="87">
        <v>168665.4197308</v>
      </c>
      <c r="X191" s="87">
        <v>166995.46507999999</v>
      </c>
      <c r="Y191" s="87">
        <v>1669.9546507999898</v>
      </c>
    </row>
    <row r="192" spans="1:25">
      <c r="A192" t="s">
        <v>317</v>
      </c>
      <c r="B192" t="s">
        <v>140</v>
      </c>
      <c r="C192" t="s">
        <v>141</v>
      </c>
      <c r="D192" t="s">
        <v>142</v>
      </c>
      <c r="E192" t="s">
        <v>84</v>
      </c>
      <c r="F192" t="s">
        <v>143</v>
      </c>
      <c r="G192" t="s">
        <v>144</v>
      </c>
      <c r="H192" s="1">
        <v>45517</v>
      </c>
      <c r="I192" s="1">
        <v>45518</v>
      </c>
      <c r="J192" s="86">
        <v>23915279.221000001</v>
      </c>
      <c r="K192" s="88">
        <v>1.2200000000000001E-2</v>
      </c>
      <c r="L192" s="88">
        <v>1.2E-2</v>
      </c>
      <c r="M192" s="1">
        <v>45532</v>
      </c>
      <c r="N192" s="1">
        <v>45530</v>
      </c>
      <c r="O192" s="86">
        <v>23915279.221000001</v>
      </c>
      <c r="P192" t="s">
        <v>32</v>
      </c>
      <c r="Q192">
        <v>1</v>
      </c>
      <c r="R192">
        <v>1</v>
      </c>
      <c r="S192">
        <v>1</v>
      </c>
      <c r="T192" s="89">
        <v>12</v>
      </c>
      <c r="U192">
        <v>2024</v>
      </c>
      <c r="V192" s="90">
        <v>45505</v>
      </c>
      <c r="W192" s="87">
        <v>291766.40649620001</v>
      </c>
      <c r="X192" s="87">
        <v>286983.35065199999</v>
      </c>
      <c r="Y192" s="87">
        <v>4783.0558442000129</v>
      </c>
    </row>
    <row r="193" spans="1:25">
      <c r="A193" t="s">
        <v>318</v>
      </c>
      <c r="B193" t="s">
        <v>73</v>
      </c>
      <c r="C193" t="s">
        <v>74</v>
      </c>
      <c r="D193" t="s">
        <v>43</v>
      </c>
      <c r="E193" t="s">
        <v>37</v>
      </c>
      <c r="F193" t="s">
        <v>70</v>
      </c>
      <c r="G193" t="s">
        <v>71</v>
      </c>
      <c r="H193" s="1">
        <v>45525</v>
      </c>
      <c r="I193" s="1">
        <v>45527</v>
      </c>
      <c r="J193" s="86">
        <v>65750</v>
      </c>
      <c r="K193" s="88">
        <v>7.85</v>
      </c>
      <c r="L193" s="88">
        <v>6.8</v>
      </c>
      <c r="M193" s="1">
        <v>45541</v>
      </c>
      <c r="N193" s="1">
        <v>45539</v>
      </c>
      <c r="O193" s="86">
        <v>65750</v>
      </c>
      <c r="P193" t="s">
        <v>213</v>
      </c>
      <c r="Q193">
        <v>1</v>
      </c>
      <c r="R193">
        <v>1</v>
      </c>
      <c r="S193">
        <v>1</v>
      </c>
      <c r="T193" s="89">
        <v>12</v>
      </c>
      <c r="U193">
        <v>2024</v>
      </c>
      <c r="V193" s="90">
        <v>45505</v>
      </c>
      <c r="W193" s="87">
        <v>516137.5</v>
      </c>
      <c r="X193" s="87">
        <v>447100</v>
      </c>
      <c r="Y193" s="87">
        <v>69037.499999999985</v>
      </c>
    </row>
    <row r="194" spans="1:25">
      <c r="A194" t="s">
        <v>319</v>
      </c>
      <c r="B194" t="s">
        <v>92</v>
      </c>
      <c r="C194" t="s">
        <v>93</v>
      </c>
      <c r="D194" t="s">
        <v>94</v>
      </c>
      <c r="E194" t="s">
        <v>56</v>
      </c>
      <c r="F194" t="s">
        <v>95</v>
      </c>
      <c r="G194" t="s">
        <v>96</v>
      </c>
      <c r="H194" s="1">
        <v>45524</v>
      </c>
      <c r="I194" s="1">
        <v>45526</v>
      </c>
      <c r="J194" s="86">
        <v>105.327</v>
      </c>
      <c r="K194" s="88">
        <v>3933.87</v>
      </c>
      <c r="L194" s="88">
        <v>3900</v>
      </c>
      <c r="M194" s="1">
        <v>45596</v>
      </c>
      <c r="N194" s="1">
        <v>45596</v>
      </c>
      <c r="O194" s="86">
        <v>105.327</v>
      </c>
      <c r="P194" t="s">
        <v>32</v>
      </c>
      <c r="Q194">
        <v>1</v>
      </c>
      <c r="R194">
        <v>1</v>
      </c>
      <c r="S194">
        <v>1</v>
      </c>
      <c r="T194" s="89">
        <v>70</v>
      </c>
      <c r="U194">
        <v>2024</v>
      </c>
      <c r="V194" s="90">
        <v>45505</v>
      </c>
      <c r="W194" s="87">
        <v>414342.72548999998</v>
      </c>
      <c r="X194" s="87">
        <v>410775.3</v>
      </c>
      <c r="Y194" s="87">
        <v>3567.4254899999883</v>
      </c>
    </row>
    <row r="195" spans="1:25">
      <c r="A195" t="s">
        <v>320</v>
      </c>
      <c r="B195" t="s">
        <v>111</v>
      </c>
      <c r="C195" t="s">
        <v>112</v>
      </c>
      <c r="D195" t="s">
        <v>113</v>
      </c>
      <c r="E195" t="s">
        <v>84</v>
      </c>
      <c r="F195" t="s">
        <v>114</v>
      </c>
      <c r="G195" t="s">
        <v>115</v>
      </c>
      <c r="H195" s="1">
        <v>45524</v>
      </c>
      <c r="I195" s="1">
        <v>45528</v>
      </c>
      <c r="J195" s="86">
        <v>25124969.208999999</v>
      </c>
      <c r="K195" s="88">
        <v>0.10730000000000001</v>
      </c>
      <c r="L195" s="88">
        <v>0.11</v>
      </c>
      <c r="M195" s="1">
        <v>45598</v>
      </c>
      <c r="N195" s="1">
        <v>45597</v>
      </c>
      <c r="O195" s="86">
        <v>25124969.208999999</v>
      </c>
      <c r="P195" t="s">
        <v>32</v>
      </c>
      <c r="Q195">
        <v>1</v>
      </c>
      <c r="R195">
        <v>1</v>
      </c>
      <c r="S195">
        <v>1</v>
      </c>
      <c r="T195" s="89">
        <v>69</v>
      </c>
      <c r="U195">
        <v>2024</v>
      </c>
      <c r="V195" s="90">
        <v>45505</v>
      </c>
      <c r="W195" s="87">
        <v>2695909.1961257001</v>
      </c>
      <c r="X195" s="87">
        <v>2763746.6129899998</v>
      </c>
      <c r="Y195" s="87">
        <v>-67837.416864299841</v>
      </c>
    </row>
    <row r="196" spans="1:25">
      <c r="A196" t="s">
        <v>321</v>
      </c>
      <c r="B196" t="s">
        <v>34</v>
      </c>
      <c r="C196" t="s">
        <v>35</v>
      </c>
      <c r="D196" t="s">
        <v>36</v>
      </c>
      <c r="E196" t="s">
        <v>37</v>
      </c>
      <c r="F196" t="s">
        <v>38</v>
      </c>
      <c r="G196" t="s">
        <v>39</v>
      </c>
      <c r="H196" s="1">
        <v>45530</v>
      </c>
      <c r="I196" s="1">
        <v>45531</v>
      </c>
      <c r="J196" s="86">
        <v>925.10299999999995</v>
      </c>
      <c r="K196" s="88">
        <v>2453.64</v>
      </c>
      <c r="L196" s="88">
        <v>2400</v>
      </c>
      <c r="M196" s="1">
        <v>45601</v>
      </c>
      <c r="N196" s="1">
        <v>45609</v>
      </c>
      <c r="O196" s="86">
        <v>370.041</v>
      </c>
      <c r="P196" t="s">
        <v>32</v>
      </c>
      <c r="Q196">
        <v>0</v>
      </c>
      <c r="R196">
        <v>0</v>
      </c>
      <c r="S196">
        <v>0</v>
      </c>
      <c r="T196" s="89">
        <v>78</v>
      </c>
      <c r="U196">
        <v>2024</v>
      </c>
      <c r="V196" s="90">
        <v>45505</v>
      </c>
      <c r="W196" s="87">
        <v>907947.39923999994</v>
      </c>
      <c r="X196" s="87">
        <v>888098.4</v>
      </c>
      <c r="Y196" s="87">
        <v>19848.999239999954</v>
      </c>
    </row>
    <row r="197" spans="1:25">
      <c r="A197" t="s">
        <v>322</v>
      </c>
      <c r="B197" t="s">
        <v>41</v>
      </c>
      <c r="C197" t="s">
        <v>42</v>
      </c>
      <c r="D197" t="s">
        <v>43</v>
      </c>
      <c r="E197" t="s">
        <v>37</v>
      </c>
      <c r="F197" t="s">
        <v>44</v>
      </c>
      <c r="G197" t="s">
        <v>45</v>
      </c>
      <c r="H197" s="1">
        <v>45532</v>
      </c>
      <c r="I197" s="1">
        <v>45535</v>
      </c>
      <c r="J197" s="86">
        <v>47355.025999999998</v>
      </c>
      <c r="K197" s="88">
        <v>9.93</v>
      </c>
      <c r="L197" s="88">
        <v>9.5</v>
      </c>
      <c r="M197" s="1">
        <v>45556</v>
      </c>
      <c r="N197" s="1">
        <v>45555</v>
      </c>
      <c r="O197" s="86">
        <v>47355.025999999998</v>
      </c>
      <c r="P197" t="s">
        <v>32</v>
      </c>
      <c r="Q197">
        <v>1</v>
      </c>
      <c r="R197">
        <v>1</v>
      </c>
      <c r="S197">
        <v>1</v>
      </c>
      <c r="T197" s="89">
        <v>20</v>
      </c>
      <c r="U197">
        <v>2024</v>
      </c>
      <c r="V197" s="90">
        <v>45505</v>
      </c>
      <c r="W197" s="87">
        <v>470235.40817999997</v>
      </c>
      <c r="X197" s="87">
        <v>449872.74699999997</v>
      </c>
      <c r="Y197" s="87">
        <v>20362.661179999985</v>
      </c>
    </row>
    <row r="198" spans="1:25">
      <c r="A198" t="s">
        <v>323</v>
      </c>
      <c r="B198" t="s">
        <v>76</v>
      </c>
      <c r="C198" t="s">
        <v>77</v>
      </c>
      <c r="D198" t="s">
        <v>78</v>
      </c>
      <c r="E198" t="s">
        <v>37</v>
      </c>
      <c r="F198" t="s">
        <v>79</v>
      </c>
      <c r="G198" t="s">
        <v>80</v>
      </c>
      <c r="H198" s="1">
        <v>45531</v>
      </c>
      <c r="I198" s="1">
        <v>45533</v>
      </c>
      <c r="J198" s="86">
        <v>15785.456</v>
      </c>
      <c r="K198" s="88">
        <v>39.200000000000003</v>
      </c>
      <c r="L198" s="88">
        <v>38</v>
      </c>
      <c r="M198" s="1">
        <v>45568</v>
      </c>
      <c r="N198" s="1">
        <v>45568</v>
      </c>
      <c r="O198" s="86">
        <v>15785.456</v>
      </c>
      <c r="P198" t="s">
        <v>32</v>
      </c>
      <c r="Q198">
        <v>1</v>
      </c>
      <c r="R198">
        <v>1</v>
      </c>
      <c r="S198">
        <v>1</v>
      </c>
      <c r="T198" s="89">
        <v>35</v>
      </c>
      <c r="U198">
        <v>2024</v>
      </c>
      <c r="V198" s="90">
        <v>45505</v>
      </c>
      <c r="W198" s="87">
        <v>618789.87520000001</v>
      </c>
      <c r="X198" s="87">
        <v>599847.32799999998</v>
      </c>
      <c r="Y198" s="87">
        <v>18942.547200000045</v>
      </c>
    </row>
    <row r="199" spans="1:25">
      <c r="A199" t="s">
        <v>324</v>
      </c>
      <c r="B199" t="s">
        <v>54</v>
      </c>
      <c r="C199" t="s">
        <v>55</v>
      </c>
      <c r="D199" t="s">
        <v>49</v>
      </c>
      <c r="E199" t="s">
        <v>56</v>
      </c>
      <c r="F199" t="s">
        <v>57</v>
      </c>
      <c r="G199" t="s">
        <v>58</v>
      </c>
      <c r="H199" s="1">
        <v>45537</v>
      </c>
      <c r="I199" s="1">
        <v>45540</v>
      </c>
      <c r="J199" s="86">
        <v>23681.396000000001</v>
      </c>
      <c r="K199" s="88">
        <v>29.12</v>
      </c>
      <c r="L199" s="88">
        <v>28</v>
      </c>
      <c r="M199" s="1">
        <v>45582</v>
      </c>
      <c r="N199" s="1">
        <v>45581</v>
      </c>
      <c r="O199" s="86">
        <v>23681.396000000001</v>
      </c>
      <c r="P199" t="s">
        <v>32</v>
      </c>
      <c r="Q199">
        <v>1</v>
      </c>
      <c r="R199">
        <v>1</v>
      </c>
      <c r="S199">
        <v>1</v>
      </c>
      <c r="T199" s="89">
        <v>41</v>
      </c>
      <c r="U199">
        <v>2024</v>
      </c>
      <c r="V199" s="90">
        <v>45536</v>
      </c>
      <c r="W199" s="87">
        <v>689602.25152000005</v>
      </c>
      <c r="X199" s="87">
        <v>663079.08799999999</v>
      </c>
      <c r="Y199" s="87">
        <v>26523.163520000024</v>
      </c>
    </row>
    <row r="200" spans="1:25">
      <c r="A200" t="s">
        <v>325</v>
      </c>
      <c r="B200" t="s">
        <v>82</v>
      </c>
      <c r="C200" t="s">
        <v>83</v>
      </c>
      <c r="D200" t="s">
        <v>78</v>
      </c>
      <c r="E200" t="s">
        <v>84</v>
      </c>
      <c r="F200" t="s">
        <v>79</v>
      </c>
      <c r="G200" t="s">
        <v>80</v>
      </c>
      <c r="H200" s="1">
        <v>45537</v>
      </c>
      <c r="I200" s="1">
        <v>45541</v>
      </c>
      <c r="J200" s="86">
        <v>315.745</v>
      </c>
      <c r="K200" s="88">
        <v>526.91999999999996</v>
      </c>
      <c r="L200" s="88">
        <v>520</v>
      </c>
      <c r="M200" s="1">
        <v>45576</v>
      </c>
      <c r="N200" s="1">
        <v>45574</v>
      </c>
      <c r="O200" s="86">
        <v>315.745</v>
      </c>
      <c r="P200" t="s">
        <v>32</v>
      </c>
      <c r="Q200">
        <v>1</v>
      </c>
      <c r="R200">
        <v>1</v>
      </c>
      <c r="S200">
        <v>1</v>
      </c>
      <c r="T200" s="89">
        <v>33</v>
      </c>
      <c r="U200">
        <v>2024</v>
      </c>
      <c r="V200" s="90">
        <v>45536</v>
      </c>
      <c r="W200" s="87">
        <v>166372.3554</v>
      </c>
      <c r="X200" s="87">
        <v>164187.4</v>
      </c>
      <c r="Y200" s="87">
        <v>2184.9553999999871</v>
      </c>
    </row>
    <row r="201" spans="1:25">
      <c r="A201" t="s">
        <v>326</v>
      </c>
      <c r="B201" t="s">
        <v>134</v>
      </c>
      <c r="C201" t="s">
        <v>135</v>
      </c>
      <c r="D201" t="s">
        <v>136</v>
      </c>
      <c r="E201" t="s">
        <v>101</v>
      </c>
      <c r="F201" t="s">
        <v>137</v>
      </c>
      <c r="G201" t="s">
        <v>138</v>
      </c>
      <c r="H201" s="1">
        <v>45538</v>
      </c>
      <c r="I201" s="1">
        <v>45542</v>
      </c>
      <c r="J201" s="86">
        <v>68916.259000000005</v>
      </c>
      <c r="K201" s="88">
        <v>6.63</v>
      </c>
      <c r="L201" s="88">
        <v>6.5</v>
      </c>
      <c r="M201" s="1">
        <v>45598</v>
      </c>
      <c r="N201" s="1">
        <v>45597</v>
      </c>
      <c r="O201" s="86">
        <v>68916.259000000005</v>
      </c>
      <c r="P201" t="s">
        <v>32</v>
      </c>
      <c r="Q201">
        <v>1</v>
      </c>
      <c r="R201">
        <v>1</v>
      </c>
      <c r="S201">
        <v>1</v>
      </c>
      <c r="T201" s="89">
        <v>55</v>
      </c>
      <c r="U201">
        <v>2024</v>
      </c>
      <c r="V201" s="90">
        <v>45536</v>
      </c>
      <c r="W201" s="87">
        <v>456914.79717000003</v>
      </c>
      <c r="X201" s="87">
        <v>447955.68350000004</v>
      </c>
      <c r="Y201" s="87">
        <v>8959.1136699999934</v>
      </c>
    </row>
    <row r="202" spans="1:25">
      <c r="A202" t="s">
        <v>327</v>
      </c>
      <c r="B202" t="s">
        <v>60</v>
      </c>
      <c r="C202" t="s">
        <v>61</v>
      </c>
      <c r="D202" t="s">
        <v>49</v>
      </c>
      <c r="E202" t="s">
        <v>56</v>
      </c>
      <c r="F202" t="s">
        <v>57</v>
      </c>
      <c r="G202" t="s">
        <v>58</v>
      </c>
      <c r="H202" s="1">
        <v>45544</v>
      </c>
      <c r="I202" s="1">
        <v>45548</v>
      </c>
      <c r="J202" s="86">
        <v>2103.3470000000002</v>
      </c>
      <c r="K202" s="88">
        <v>431.77</v>
      </c>
      <c r="L202" s="88">
        <v>410</v>
      </c>
      <c r="M202" s="1">
        <v>45590</v>
      </c>
      <c r="N202" s="1">
        <v>45587</v>
      </c>
      <c r="O202" s="86">
        <v>2103.3470000000002</v>
      </c>
      <c r="P202" t="s">
        <v>32</v>
      </c>
      <c r="Q202">
        <v>1</v>
      </c>
      <c r="R202">
        <v>1</v>
      </c>
      <c r="S202">
        <v>1</v>
      </c>
      <c r="T202" s="89">
        <v>39</v>
      </c>
      <c r="U202">
        <v>2024</v>
      </c>
      <c r="V202" s="90">
        <v>45536</v>
      </c>
      <c r="W202" s="87">
        <v>908162.13419000001</v>
      </c>
      <c r="X202" s="87">
        <v>862372.27000000014</v>
      </c>
      <c r="Y202" s="87">
        <v>45789.864189999964</v>
      </c>
    </row>
    <row r="203" spans="1:25">
      <c r="A203" t="s">
        <v>328</v>
      </c>
      <c r="B203" t="s">
        <v>68</v>
      </c>
      <c r="C203" t="s">
        <v>69</v>
      </c>
      <c r="D203" t="s">
        <v>43</v>
      </c>
      <c r="E203" t="s">
        <v>37</v>
      </c>
      <c r="F203" t="s">
        <v>70</v>
      </c>
      <c r="G203" t="s">
        <v>71</v>
      </c>
      <c r="H203" s="1">
        <v>45546</v>
      </c>
      <c r="I203" s="1">
        <v>45548</v>
      </c>
      <c r="J203" s="86">
        <v>157928.43599999999</v>
      </c>
      <c r="K203" s="88">
        <v>4.2</v>
      </c>
      <c r="L203" s="88">
        <v>4.2</v>
      </c>
      <c r="M203" s="1">
        <v>45569</v>
      </c>
      <c r="N203" s="1">
        <v>45568</v>
      </c>
      <c r="O203" s="86">
        <v>157928.43599999999</v>
      </c>
      <c r="P203" t="s">
        <v>32</v>
      </c>
      <c r="Q203">
        <v>1</v>
      </c>
      <c r="R203">
        <v>1</v>
      </c>
      <c r="S203">
        <v>1</v>
      </c>
      <c r="T203" s="89">
        <v>20</v>
      </c>
      <c r="U203">
        <v>2024</v>
      </c>
      <c r="V203" s="90">
        <v>45536</v>
      </c>
      <c r="W203" s="87">
        <v>663299.43119999999</v>
      </c>
      <c r="X203" s="87">
        <v>663299.43119999999</v>
      </c>
      <c r="Y203" s="87">
        <v>0</v>
      </c>
    </row>
    <row r="204" spans="1:25">
      <c r="A204" t="s">
        <v>329</v>
      </c>
      <c r="B204" t="s">
        <v>26</v>
      </c>
      <c r="C204" t="s">
        <v>27</v>
      </c>
      <c r="D204" t="s">
        <v>28</v>
      </c>
      <c r="E204" t="s">
        <v>29</v>
      </c>
      <c r="F204" t="s">
        <v>149</v>
      </c>
      <c r="G204" t="s">
        <v>150</v>
      </c>
      <c r="H204" s="1">
        <v>45553</v>
      </c>
      <c r="I204" s="1">
        <v>45555</v>
      </c>
      <c r="J204" s="86">
        <v>26290.108</v>
      </c>
      <c r="K204" s="88">
        <v>117.02</v>
      </c>
      <c r="L204" s="88">
        <v>118</v>
      </c>
      <c r="M204" s="1">
        <v>45597</v>
      </c>
      <c r="N204" s="1">
        <v>45596</v>
      </c>
      <c r="O204" s="86">
        <v>26290.108</v>
      </c>
      <c r="P204" t="s">
        <v>32</v>
      </c>
      <c r="Q204">
        <v>1</v>
      </c>
      <c r="R204">
        <v>1</v>
      </c>
      <c r="S204">
        <v>1</v>
      </c>
      <c r="T204" s="89">
        <v>41</v>
      </c>
      <c r="U204">
        <v>2024</v>
      </c>
      <c r="V204" s="90">
        <v>45536</v>
      </c>
      <c r="W204" s="87">
        <v>3076468.4381599999</v>
      </c>
      <c r="X204" s="87">
        <v>3102232.7439999999</v>
      </c>
      <c r="Y204" s="87">
        <v>-25764.305840000106</v>
      </c>
    </row>
    <row r="205" spans="1:25">
      <c r="A205" t="s">
        <v>330</v>
      </c>
      <c r="B205" t="s">
        <v>63</v>
      </c>
      <c r="C205" t="s">
        <v>64</v>
      </c>
      <c r="D205" t="s">
        <v>49</v>
      </c>
      <c r="E205" t="s">
        <v>56</v>
      </c>
      <c r="F205" t="s">
        <v>65</v>
      </c>
      <c r="G205" t="s">
        <v>66</v>
      </c>
      <c r="H205" s="1">
        <v>45552</v>
      </c>
      <c r="I205" s="1">
        <v>45556</v>
      </c>
      <c r="J205" s="86">
        <v>3153.7689999999998</v>
      </c>
      <c r="K205" s="88">
        <v>161.08000000000001</v>
      </c>
      <c r="L205" s="88">
        <v>160</v>
      </c>
      <c r="M205" s="1">
        <v>45584</v>
      </c>
      <c r="N205" s="1">
        <v>45582</v>
      </c>
      <c r="O205" s="86">
        <v>3153.7689999999998</v>
      </c>
      <c r="P205" t="s">
        <v>32</v>
      </c>
      <c r="Q205">
        <v>1</v>
      </c>
      <c r="R205">
        <v>1</v>
      </c>
      <c r="S205">
        <v>1</v>
      </c>
      <c r="T205" s="89">
        <v>26</v>
      </c>
      <c r="U205">
        <v>2024</v>
      </c>
      <c r="V205" s="90">
        <v>45536</v>
      </c>
      <c r="W205" s="87">
        <v>508009.11051999999</v>
      </c>
      <c r="X205" s="87">
        <v>504603.04</v>
      </c>
      <c r="Y205" s="87">
        <v>3406.0705200000393</v>
      </c>
    </row>
    <row r="206" spans="1:25">
      <c r="A206" t="s">
        <v>331</v>
      </c>
      <c r="B206" t="s">
        <v>98</v>
      </c>
      <c r="C206" t="s">
        <v>99</v>
      </c>
      <c r="D206" t="s">
        <v>100</v>
      </c>
      <c r="E206" t="s">
        <v>101</v>
      </c>
      <c r="F206" t="s">
        <v>102</v>
      </c>
      <c r="G206" t="s">
        <v>103</v>
      </c>
      <c r="H206" s="1">
        <v>45551</v>
      </c>
      <c r="I206" s="1">
        <v>45554</v>
      </c>
      <c r="J206" s="86">
        <v>21.02</v>
      </c>
      <c r="K206" s="88">
        <v>6374.9</v>
      </c>
      <c r="L206" s="88">
        <v>6200</v>
      </c>
      <c r="M206" s="1">
        <v>45603</v>
      </c>
      <c r="N206" s="1">
        <v>45603</v>
      </c>
      <c r="O206" s="86">
        <v>21.02</v>
      </c>
      <c r="P206" t="s">
        <v>32</v>
      </c>
      <c r="Q206">
        <v>1</v>
      </c>
      <c r="R206">
        <v>1</v>
      </c>
      <c r="S206">
        <v>1</v>
      </c>
      <c r="T206" s="89">
        <v>49</v>
      </c>
      <c r="U206">
        <v>2024</v>
      </c>
      <c r="V206" s="90">
        <v>45536</v>
      </c>
      <c r="W206" s="87">
        <v>134000.39799999999</v>
      </c>
      <c r="X206" s="87">
        <v>130324</v>
      </c>
      <c r="Y206" s="87">
        <v>3676.3979999999924</v>
      </c>
    </row>
    <row r="207" spans="1:25">
      <c r="A207" t="s">
        <v>332</v>
      </c>
      <c r="B207" t="s">
        <v>117</v>
      </c>
      <c r="C207" t="s">
        <v>118</v>
      </c>
      <c r="D207" t="s">
        <v>119</v>
      </c>
      <c r="E207" t="s">
        <v>120</v>
      </c>
      <c r="F207" t="s">
        <v>121</v>
      </c>
      <c r="G207" t="s">
        <v>122</v>
      </c>
      <c r="H207" s="1">
        <v>45553</v>
      </c>
      <c r="I207" s="1">
        <v>45558</v>
      </c>
      <c r="J207" s="86">
        <v>14714510.512</v>
      </c>
      <c r="K207" s="88">
        <v>4.1999999999999997E-3</v>
      </c>
      <c r="L207" s="88">
        <v>4.0000000000000001E-3</v>
      </c>
      <c r="M207" s="1">
        <v>45593</v>
      </c>
      <c r="N207" s="1">
        <v>45605</v>
      </c>
      <c r="O207" s="86">
        <v>14714510.512</v>
      </c>
      <c r="P207" t="s">
        <v>32</v>
      </c>
      <c r="Q207">
        <v>0</v>
      </c>
      <c r="R207">
        <v>1</v>
      </c>
      <c r="S207">
        <v>0</v>
      </c>
      <c r="T207" s="89">
        <v>47</v>
      </c>
      <c r="U207">
        <v>2024</v>
      </c>
      <c r="V207" s="90">
        <v>45536</v>
      </c>
      <c r="W207" s="87">
        <v>61800.944150399999</v>
      </c>
      <c r="X207" s="87">
        <v>58858.042048000003</v>
      </c>
      <c r="Y207" s="87">
        <v>2942.9021023999949</v>
      </c>
    </row>
    <row r="208" spans="1:25">
      <c r="A208" t="s">
        <v>333</v>
      </c>
      <c r="B208" t="s">
        <v>124</v>
      </c>
      <c r="C208" t="s">
        <v>125</v>
      </c>
      <c r="D208" t="s">
        <v>119</v>
      </c>
      <c r="E208" t="s">
        <v>126</v>
      </c>
      <c r="F208" t="s">
        <v>121</v>
      </c>
      <c r="G208" t="s">
        <v>122</v>
      </c>
      <c r="H208" s="1">
        <v>45551</v>
      </c>
      <c r="I208" s="1">
        <v>45553</v>
      </c>
      <c r="J208" s="86">
        <v>8577172.7770000007</v>
      </c>
      <c r="K208" s="88">
        <v>2.0400000000000001E-2</v>
      </c>
      <c r="L208" s="88">
        <v>0.02</v>
      </c>
      <c r="M208" s="1">
        <v>45588</v>
      </c>
      <c r="N208" s="1">
        <v>45594</v>
      </c>
      <c r="O208" s="86">
        <v>8577172.7770000007</v>
      </c>
      <c r="P208" t="s">
        <v>32</v>
      </c>
      <c r="Q208">
        <v>0</v>
      </c>
      <c r="R208">
        <v>1</v>
      </c>
      <c r="S208">
        <v>0</v>
      </c>
      <c r="T208" s="89">
        <v>41</v>
      </c>
      <c r="U208">
        <v>2024</v>
      </c>
      <c r="V208" s="90">
        <v>45536</v>
      </c>
      <c r="W208" s="87">
        <v>174974.32465080003</v>
      </c>
      <c r="X208" s="87">
        <v>171543.45554000002</v>
      </c>
      <c r="Y208" s="87">
        <v>3430.8691108000094</v>
      </c>
    </row>
    <row r="209" spans="1:25">
      <c r="A209" t="s">
        <v>334</v>
      </c>
      <c r="B209" t="s">
        <v>140</v>
      </c>
      <c r="C209" t="s">
        <v>141</v>
      </c>
      <c r="D209" t="s">
        <v>142</v>
      </c>
      <c r="E209" t="s">
        <v>84</v>
      </c>
      <c r="F209" t="s">
        <v>143</v>
      </c>
      <c r="G209" t="s">
        <v>144</v>
      </c>
      <c r="H209" s="1">
        <v>45552</v>
      </c>
      <c r="I209" s="1">
        <v>45555</v>
      </c>
      <c r="J209" s="86">
        <v>24570979.921999998</v>
      </c>
      <c r="K209" s="88">
        <v>1.23E-2</v>
      </c>
      <c r="L209" s="88">
        <v>1.2E-2</v>
      </c>
      <c r="M209" s="1">
        <v>45569</v>
      </c>
      <c r="N209" s="1">
        <v>45569</v>
      </c>
      <c r="O209" s="86">
        <v>24570979.921999998</v>
      </c>
      <c r="P209" t="s">
        <v>32</v>
      </c>
      <c r="Q209">
        <v>1</v>
      </c>
      <c r="R209">
        <v>1</v>
      </c>
      <c r="S209">
        <v>1</v>
      </c>
      <c r="T209" s="89">
        <v>14</v>
      </c>
      <c r="U209">
        <v>2024</v>
      </c>
      <c r="V209" s="90">
        <v>45536</v>
      </c>
      <c r="W209" s="87">
        <v>302223.05304059997</v>
      </c>
      <c r="X209" s="87">
        <v>294851.75906399998</v>
      </c>
      <c r="Y209" s="87">
        <v>7371.2939765999972</v>
      </c>
    </row>
    <row r="210" spans="1:25">
      <c r="A210" t="s">
        <v>335</v>
      </c>
      <c r="B210" t="s">
        <v>47</v>
      </c>
      <c r="C210" t="s">
        <v>48</v>
      </c>
      <c r="D210" t="s">
        <v>49</v>
      </c>
      <c r="E210" t="s">
        <v>50</v>
      </c>
      <c r="F210" t="s">
        <v>51</v>
      </c>
      <c r="G210" t="s">
        <v>52</v>
      </c>
      <c r="H210" s="1">
        <v>45559</v>
      </c>
      <c r="I210" s="1">
        <v>45565</v>
      </c>
      <c r="J210" s="86">
        <v>157.85499999999999</v>
      </c>
      <c r="K210" s="88">
        <v>1914.82</v>
      </c>
      <c r="L210" s="88">
        <v>1850</v>
      </c>
      <c r="M210" s="1">
        <v>45621</v>
      </c>
      <c r="N210" s="1">
        <v>45620</v>
      </c>
      <c r="O210" s="86">
        <v>157.85499999999999</v>
      </c>
      <c r="P210" t="s">
        <v>32</v>
      </c>
      <c r="Q210">
        <v>1</v>
      </c>
      <c r="R210">
        <v>1</v>
      </c>
      <c r="S210">
        <v>1</v>
      </c>
      <c r="T210" s="89">
        <v>55</v>
      </c>
      <c r="U210">
        <v>2024</v>
      </c>
      <c r="V210" s="90">
        <v>45536</v>
      </c>
      <c r="W210" s="87">
        <v>302263.91109999997</v>
      </c>
      <c r="X210" s="87">
        <v>292031.75</v>
      </c>
      <c r="Y210" s="87">
        <v>10232.161099999988</v>
      </c>
    </row>
    <row r="211" spans="1:25">
      <c r="A211" t="s">
        <v>336</v>
      </c>
      <c r="B211" t="s">
        <v>86</v>
      </c>
      <c r="C211" t="s">
        <v>87</v>
      </c>
      <c r="D211" t="s">
        <v>88</v>
      </c>
      <c r="E211" t="s">
        <v>84</v>
      </c>
      <c r="F211" t="s">
        <v>89</v>
      </c>
      <c r="G211" t="s">
        <v>90</v>
      </c>
      <c r="H211" s="1">
        <v>45560</v>
      </c>
      <c r="I211" s="1">
        <v>45565</v>
      </c>
      <c r="J211" s="86">
        <v>15.78</v>
      </c>
      <c r="K211" s="88">
        <v>9681.2999999999993</v>
      </c>
      <c r="L211" s="88">
        <v>9500</v>
      </c>
      <c r="M211" s="1">
        <v>45628</v>
      </c>
      <c r="N211" s="1">
        <v>45628</v>
      </c>
      <c r="O211" s="86">
        <v>15.78</v>
      </c>
      <c r="P211" t="s">
        <v>32</v>
      </c>
      <c r="Q211">
        <v>1</v>
      </c>
      <c r="R211">
        <v>1</v>
      </c>
      <c r="S211">
        <v>1</v>
      </c>
      <c r="T211" s="89">
        <v>63</v>
      </c>
      <c r="U211">
        <v>2024</v>
      </c>
      <c r="V211" s="90">
        <v>45536</v>
      </c>
      <c r="W211" s="87">
        <v>152770.91399999999</v>
      </c>
      <c r="X211" s="87">
        <v>149910</v>
      </c>
      <c r="Y211" s="87">
        <v>2860.9139999999884</v>
      </c>
    </row>
    <row r="212" spans="1:25">
      <c r="A212" t="s">
        <v>337</v>
      </c>
      <c r="B212" t="s">
        <v>105</v>
      </c>
      <c r="C212" t="s">
        <v>106</v>
      </c>
      <c r="D212" t="s">
        <v>107</v>
      </c>
      <c r="E212" t="s">
        <v>101</v>
      </c>
      <c r="F212" t="s">
        <v>108</v>
      </c>
      <c r="G212" t="s">
        <v>109</v>
      </c>
      <c r="H212" s="1">
        <v>45560</v>
      </c>
      <c r="I212" s="1">
        <v>45564</v>
      </c>
      <c r="J212" s="86">
        <v>4.55</v>
      </c>
      <c r="K212" s="88">
        <v>54905.3</v>
      </c>
      <c r="L212" s="88">
        <v>48000</v>
      </c>
      <c r="M212" s="1">
        <v>45606</v>
      </c>
      <c r="N212" s="1">
        <v>45604</v>
      </c>
      <c r="O212" s="86">
        <v>4.55</v>
      </c>
      <c r="P212" t="s">
        <v>213</v>
      </c>
      <c r="Q212">
        <v>1</v>
      </c>
      <c r="R212">
        <v>1</v>
      </c>
      <c r="S212">
        <v>1</v>
      </c>
      <c r="T212" s="89">
        <v>40</v>
      </c>
      <c r="U212">
        <v>2024</v>
      </c>
      <c r="V212" s="90">
        <v>45536</v>
      </c>
      <c r="W212" s="87">
        <v>249819.11499999999</v>
      </c>
      <c r="X212" s="87">
        <v>218400</v>
      </c>
      <c r="Y212" s="87">
        <v>31419.115000000013</v>
      </c>
    </row>
    <row r="213" spans="1:25">
      <c r="A213" t="s">
        <v>338</v>
      </c>
      <c r="B213" t="s">
        <v>111</v>
      </c>
      <c r="C213" t="s">
        <v>112</v>
      </c>
      <c r="D213" t="s">
        <v>113</v>
      </c>
      <c r="E213" t="s">
        <v>84</v>
      </c>
      <c r="F213" t="s">
        <v>114</v>
      </c>
      <c r="G213" t="s">
        <v>115</v>
      </c>
      <c r="H213" s="1">
        <v>45560</v>
      </c>
      <c r="I213" s="1">
        <v>45565</v>
      </c>
      <c r="J213" s="86">
        <v>24225660.649</v>
      </c>
      <c r="K213" s="88">
        <v>0.113</v>
      </c>
      <c r="L213" s="88">
        <v>0.11</v>
      </c>
      <c r="M213" s="1">
        <v>45635</v>
      </c>
      <c r="N213" s="1">
        <v>45644</v>
      </c>
      <c r="O213" s="86">
        <v>24225660.649</v>
      </c>
      <c r="P213" t="s">
        <v>32</v>
      </c>
      <c r="Q213">
        <v>0</v>
      </c>
      <c r="R213">
        <v>1</v>
      </c>
      <c r="S213">
        <v>0</v>
      </c>
      <c r="T213" s="89">
        <v>79</v>
      </c>
      <c r="U213">
        <v>2024</v>
      </c>
      <c r="V213" s="90">
        <v>45536</v>
      </c>
      <c r="W213" s="87">
        <v>2737499.6533369999</v>
      </c>
      <c r="X213" s="87">
        <v>2664822.6713900003</v>
      </c>
      <c r="Y213" s="87">
        <v>72676.981947000066</v>
      </c>
    </row>
    <row r="214" spans="1:25">
      <c r="A214" t="s">
        <v>339</v>
      </c>
      <c r="B214" t="s">
        <v>128</v>
      </c>
      <c r="C214" t="s">
        <v>129</v>
      </c>
      <c r="D214" t="s">
        <v>130</v>
      </c>
      <c r="E214" t="s">
        <v>84</v>
      </c>
      <c r="F214" t="s">
        <v>131</v>
      </c>
      <c r="G214" t="s">
        <v>132</v>
      </c>
      <c r="H214" s="1">
        <v>45560</v>
      </c>
      <c r="I214" s="1">
        <v>45563</v>
      </c>
      <c r="J214" s="86">
        <v>1.625</v>
      </c>
      <c r="K214" s="88">
        <v>65390.29</v>
      </c>
      <c r="L214" s="88">
        <v>65000</v>
      </c>
      <c r="M214" s="1">
        <v>45633</v>
      </c>
      <c r="N214" s="1">
        <v>45631</v>
      </c>
      <c r="O214" s="86">
        <v>1.625</v>
      </c>
      <c r="P214" t="s">
        <v>32</v>
      </c>
      <c r="Q214">
        <v>1</v>
      </c>
      <c r="R214">
        <v>1</v>
      </c>
      <c r="S214">
        <v>1</v>
      </c>
      <c r="T214" s="89">
        <v>68</v>
      </c>
      <c r="U214">
        <v>2024</v>
      </c>
      <c r="V214" s="90">
        <v>45536</v>
      </c>
      <c r="W214" s="87">
        <v>106259.22125</v>
      </c>
      <c r="X214" s="87">
        <v>105625</v>
      </c>
      <c r="Y214" s="87">
        <v>634.22125000000142</v>
      </c>
    </row>
    <row r="215" spans="1:25">
      <c r="A215" t="s">
        <v>340</v>
      </c>
      <c r="B215" t="s">
        <v>73</v>
      </c>
      <c r="C215" t="s">
        <v>74</v>
      </c>
      <c r="D215" t="s">
        <v>43</v>
      </c>
      <c r="E215" t="s">
        <v>37</v>
      </c>
      <c r="F215" t="s">
        <v>70</v>
      </c>
      <c r="G215" t="s">
        <v>71</v>
      </c>
      <c r="H215" s="1">
        <v>45566</v>
      </c>
      <c r="I215" s="1">
        <v>45570</v>
      </c>
      <c r="J215" s="86">
        <v>71971.547999999995</v>
      </c>
      <c r="K215" s="88">
        <v>6.96</v>
      </c>
      <c r="L215" s="88">
        <v>6.8</v>
      </c>
      <c r="M215" s="1">
        <v>45591</v>
      </c>
      <c r="N215" s="1">
        <v>45590</v>
      </c>
      <c r="O215" s="86">
        <v>71971.547999999995</v>
      </c>
      <c r="P215" t="s">
        <v>32</v>
      </c>
      <c r="Q215">
        <v>1</v>
      </c>
      <c r="R215">
        <v>1</v>
      </c>
      <c r="S215">
        <v>1</v>
      </c>
      <c r="T215" s="89">
        <v>20</v>
      </c>
      <c r="U215">
        <v>2024</v>
      </c>
      <c r="V215" s="90">
        <v>45566</v>
      </c>
      <c r="W215" s="87">
        <v>500921.97407999996</v>
      </c>
      <c r="X215" s="87">
        <v>489406.52639999997</v>
      </c>
      <c r="Y215" s="87">
        <v>11515.44768000001</v>
      </c>
    </row>
    <row r="216" spans="1:25">
      <c r="A216" t="s">
        <v>341</v>
      </c>
      <c r="B216" t="s">
        <v>76</v>
      </c>
      <c r="C216" t="s">
        <v>77</v>
      </c>
      <c r="D216" t="s">
        <v>78</v>
      </c>
      <c r="E216" t="s">
        <v>37</v>
      </c>
      <c r="F216" t="s">
        <v>79</v>
      </c>
      <c r="G216" t="s">
        <v>80</v>
      </c>
      <c r="H216" s="1">
        <v>45567</v>
      </c>
      <c r="I216" s="1">
        <v>45570</v>
      </c>
      <c r="J216" s="86">
        <v>14532.612999999999</v>
      </c>
      <c r="K216" s="88">
        <v>38.47</v>
      </c>
      <c r="L216" s="88">
        <v>38</v>
      </c>
      <c r="M216" s="1">
        <v>45605</v>
      </c>
      <c r="N216" s="1">
        <v>45602</v>
      </c>
      <c r="O216" s="86">
        <v>14532.612999999999</v>
      </c>
      <c r="P216" t="s">
        <v>32</v>
      </c>
      <c r="Q216">
        <v>1</v>
      </c>
      <c r="R216">
        <v>1</v>
      </c>
      <c r="S216">
        <v>1</v>
      </c>
      <c r="T216" s="89">
        <v>32</v>
      </c>
      <c r="U216">
        <v>2024</v>
      </c>
      <c r="V216" s="90">
        <v>45566</v>
      </c>
      <c r="W216" s="87">
        <v>559069.62211</v>
      </c>
      <c r="X216" s="87">
        <v>552239.29399999999</v>
      </c>
      <c r="Y216" s="87">
        <v>6830.3281099999831</v>
      </c>
    </row>
    <row r="217" spans="1:25">
      <c r="A217" t="s">
        <v>342</v>
      </c>
      <c r="B217" t="s">
        <v>92</v>
      </c>
      <c r="C217" t="s">
        <v>93</v>
      </c>
      <c r="D217" t="s">
        <v>94</v>
      </c>
      <c r="E217" t="s">
        <v>56</v>
      </c>
      <c r="F217" t="s">
        <v>95</v>
      </c>
      <c r="G217" t="s">
        <v>96</v>
      </c>
      <c r="H217" s="1">
        <v>45565</v>
      </c>
      <c r="I217" s="1">
        <v>45567</v>
      </c>
      <c r="J217" s="86">
        <v>115.002</v>
      </c>
      <c r="K217" s="88">
        <v>3923.5</v>
      </c>
      <c r="L217" s="88">
        <v>3900</v>
      </c>
      <c r="M217" s="1">
        <v>45637</v>
      </c>
      <c r="N217" s="1">
        <v>45645</v>
      </c>
      <c r="O217" s="86">
        <v>115.002</v>
      </c>
      <c r="P217" t="s">
        <v>32</v>
      </c>
      <c r="Q217">
        <v>0</v>
      </c>
      <c r="R217">
        <v>1</v>
      </c>
      <c r="S217">
        <v>0</v>
      </c>
      <c r="T217" s="89">
        <v>78</v>
      </c>
      <c r="U217">
        <v>2024</v>
      </c>
      <c r="V217" s="90">
        <v>45566</v>
      </c>
      <c r="W217" s="87">
        <v>451210.34700000001</v>
      </c>
      <c r="X217" s="87">
        <v>448507.8</v>
      </c>
      <c r="Y217" s="87">
        <v>2702.547</v>
      </c>
    </row>
    <row r="218" spans="1:25">
      <c r="A218" t="s">
        <v>343</v>
      </c>
      <c r="B218" t="s">
        <v>34</v>
      </c>
      <c r="C218" t="s">
        <v>35</v>
      </c>
      <c r="D218" t="s">
        <v>36</v>
      </c>
      <c r="E218" t="s">
        <v>37</v>
      </c>
      <c r="F218" t="s">
        <v>38</v>
      </c>
      <c r="G218" t="s">
        <v>39</v>
      </c>
      <c r="H218" s="1">
        <v>45572</v>
      </c>
      <c r="I218" s="1">
        <v>45574</v>
      </c>
      <c r="J218" s="86">
        <v>1005.448</v>
      </c>
      <c r="K218" s="88">
        <v>2495.6799999999998</v>
      </c>
      <c r="L218" s="88">
        <v>2400</v>
      </c>
      <c r="M218" s="1">
        <v>45644</v>
      </c>
      <c r="N218" s="1">
        <v>45652</v>
      </c>
      <c r="O218" s="86">
        <v>402.17899999999997</v>
      </c>
      <c r="P218" t="s">
        <v>32</v>
      </c>
      <c r="Q218">
        <v>0</v>
      </c>
      <c r="R218">
        <v>0</v>
      </c>
      <c r="S218">
        <v>0</v>
      </c>
      <c r="T218" s="89">
        <v>78</v>
      </c>
      <c r="U218">
        <v>2024</v>
      </c>
      <c r="V218" s="90">
        <v>45566</v>
      </c>
      <c r="W218" s="87">
        <v>1003710.0867199999</v>
      </c>
      <c r="X218" s="87">
        <v>965229.6</v>
      </c>
      <c r="Y218" s="87">
        <v>38480.486719999928</v>
      </c>
    </row>
    <row r="219" spans="1:25">
      <c r="A219" t="s">
        <v>344</v>
      </c>
      <c r="B219" t="s">
        <v>41</v>
      </c>
      <c r="C219" t="s">
        <v>42</v>
      </c>
      <c r="D219" t="s">
        <v>43</v>
      </c>
      <c r="E219" t="s">
        <v>37</v>
      </c>
      <c r="F219" t="s">
        <v>70</v>
      </c>
      <c r="G219" t="s">
        <v>71</v>
      </c>
      <c r="H219" s="1">
        <v>45572</v>
      </c>
      <c r="I219" s="1">
        <v>45579</v>
      </c>
      <c r="J219" s="86">
        <v>51682.48</v>
      </c>
      <c r="K219" s="88">
        <v>9.76</v>
      </c>
      <c r="L219" s="88">
        <v>9.5</v>
      </c>
      <c r="M219" s="1">
        <v>45600</v>
      </c>
      <c r="N219" s="1">
        <v>45614</v>
      </c>
      <c r="O219" s="86">
        <v>51682.48</v>
      </c>
      <c r="P219" t="s">
        <v>32</v>
      </c>
      <c r="Q219">
        <v>0</v>
      </c>
      <c r="R219">
        <v>1</v>
      </c>
      <c r="S219">
        <v>0</v>
      </c>
      <c r="T219" s="89">
        <v>35</v>
      </c>
      <c r="U219">
        <v>2024</v>
      </c>
      <c r="V219" s="90">
        <v>45566</v>
      </c>
      <c r="W219" s="87">
        <v>504421.0048</v>
      </c>
      <c r="X219" s="87">
        <v>490983.56000000006</v>
      </c>
      <c r="Y219" s="87">
        <v>13437.44479999999</v>
      </c>
    </row>
    <row r="220" spans="1:25">
      <c r="A220" t="s">
        <v>345</v>
      </c>
      <c r="B220" t="s">
        <v>82</v>
      </c>
      <c r="C220" t="s">
        <v>83</v>
      </c>
      <c r="D220" t="s">
        <v>78</v>
      </c>
      <c r="E220" t="s">
        <v>84</v>
      </c>
      <c r="F220" t="s">
        <v>79</v>
      </c>
      <c r="G220" t="s">
        <v>80</v>
      </c>
      <c r="H220" s="1">
        <v>45572</v>
      </c>
      <c r="I220" s="1">
        <v>45575</v>
      </c>
      <c r="J220" s="86">
        <v>288.75700000000001</v>
      </c>
      <c r="K220" s="88">
        <v>518.48</v>
      </c>
      <c r="L220" s="88">
        <v>520</v>
      </c>
      <c r="M220" s="1">
        <v>45610</v>
      </c>
      <c r="N220" s="1">
        <v>45607</v>
      </c>
      <c r="O220" s="86">
        <v>288.75700000000001</v>
      </c>
      <c r="P220" t="s">
        <v>32</v>
      </c>
      <c r="Q220">
        <v>1</v>
      </c>
      <c r="R220">
        <v>1</v>
      </c>
      <c r="S220">
        <v>1</v>
      </c>
      <c r="T220" s="89">
        <v>32</v>
      </c>
      <c r="U220">
        <v>2024</v>
      </c>
      <c r="V220" s="90">
        <v>45566</v>
      </c>
      <c r="W220" s="87">
        <v>149714.72936</v>
      </c>
      <c r="X220" s="87">
        <v>150153.64000000001</v>
      </c>
      <c r="Y220" s="87">
        <v>-438.91063999999477</v>
      </c>
    </row>
    <row r="221" spans="1:25">
      <c r="A221" t="s">
        <v>346</v>
      </c>
      <c r="B221" t="s">
        <v>54</v>
      </c>
      <c r="C221" t="s">
        <v>55</v>
      </c>
      <c r="D221" t="s">
        <v>49</v>
      </c>
      <c r="E221" t="s">
        <v>56</v>
      </c>
      <c r="F221" t="s">
        <v>57</v>
      </c>
      <c r="G221" t="s">
        <v>58</v>
      </c>
      <c r="H221" s="1">
        <v>45579</v>
      </c>
      <c r="I221" s="1">
        <v>45580</v>
      </c>
      <c r="J221" s="86">
        <v>25787.67</v>
      </c>
      <c r="K221" s="88">
        <v>28.74</v>
      </c>
      <c r="L221" s="88">
        <v>28</v>
      </c>
      <c r="M221" s="1">
        <v>45622</v>
      </c>
      <c r="N221" s="1">
        <v>45619</v>
      </c>
      <c r="O221" s="86">
        <v>25787.67</v>
      </c>
      <c r="P221" t="s">
        <v>32</v>
      </c>
      <c r="Q221">
        <v>1</v>
      </c>
      <c r="R221">
        <v>1</v>
      </c>
      <c r="S221">
        <v>1</v>
      </c>
      <c r="T221" s="89">
        <v>39</v>
      </c>
      <c r="U221">
        <v>2024</v>
      </c>
      <c r="V221" s="90">
        <v>45566</v>
      </c>
      <c r="W221" s="87">
        <v>741137.63579999993</v>
      </c>
      <c r="X221" s="87">
        <v>722054.76</v>
      </c>
      <c r="Y221" s="87">
        <v>19082.875799999958</v>
      </c>
    </row>
    <row r="222" spans="1:25">
      <c r="A222" t="s">
        <v>347</v>
      </c>
      <c r="B222" t="s">
        <v>134</v>
      </c>
      <c r="C222" t="s">
        <v>135</v>
      </c>
      <c r="D222" t="s">
        <v>136</v>
      </c>
      <c r="E222" t="s">
        <v>101</v>
      </c>
      <c r="F222" t="s">
        <v>137</v>
      </c>
      <c r="G222" t="s">
        <v>138</v>
      </c>
      <c r="H222" s="1">
        <v>45579</v>
      </c>
      <c r="I222" s="1">
        <v>45581</v>
      </c>
      <c r="J222" s="86">
        <v>71945.53</v>
      </c>
      <c r="K222" s="88">
        <v>6.51</v>
      </c>
      <c r="L222" s="88">
        <v>6.5</v>
      </c>
      <c r="M222" s="1">
        <v>45637</v>
      </c>
      <c r="N222" s="1">
        <v>45639</v>
      </c>
      <c r="O222" s="86">
        <v>71945.53</v>
      </c>
      <c r="P222" t="s">
        <v>32</v>
      </c>
      <c r="Q222">
        <v>0</v>
      </c>
      <c r="R222">
        <v>1</v>
      </c>
      <c r="S222">
        <v>0</v>
      </c>
      <c r="T222" s="89">
        <v>58</v>
      </c>
      <c r="U222">
        <v>2024</v>
      </c>
      <c r="V222" s="90">
        <v>45566</v>
      </c>
      <c r="W222" s="87">
        <v>468365.40029999998</v>
      </c>
      <c r="X222" s="87">
        <v>467645.94500000001</v>
      </c>
      <c r="Y222" s="87">
        <v>719.45529999998462</v>
      </c>
    </row>
    <row r="223" spans="1:25">
      <c r="A223" t="s">
        <v>348</v>
      </c>
      <c r="B223" t="s">
        <v>60</v>
      </c>
      <c r="C223" t="s">
        <v>61</v>
      </c>
      <c r="D223" t="s">
        <v>49</v>
      </c>
      <c r="E223" t="s">
        <v>56</v>
      </c>
      <c r="F223" t="s">
        <v>57</v>
      </c>
      <c r="G223" t="s">
        <v>58</v>
      </c>
      <c r="H223" s="1">
        <v>45588</v>
      </c>
      <c r="I223" s="1">
        <v>45590</v>
      </c>
      <c r="J223" s="86">
        <v>2297.2429999999999</v>
      </c>
      <c r="K223" s="88">
        <v>435.23</v>
      </c>
      <c r="L223" s="88">
        <v>410</v>
      </c>
      <c r="M223" s="1">
        <v>45632</v>
      </c>
      <c r="N223" s="1">
        <v>45629</v>
      </c>
      <c r="O223" s="86">
        <v>2297.2429999999999</v>
      </c>
      <c r="P223" t="s">
        <v>32</v>
      </c>
      <c r="Q223">
        <v>1</v>
      </c>
      <c r="R223">
        <v>1</v>
      </c>
      <c r="S223">
        <v>1</v>
      </c>
      <c r="T223" s="89">
        <v>39</v>
      </c>
      <c r="U223">
        <v>2024</v>
      </c>
      <c r="V223" s="90">
        <v>45566</v>
      </c>
      <c r="W223" s="87">
        <v>999829.07088999997</v>
      </c>
      <c r="X223" s="87">
        <v>941869.63</v>
      </c>
      <c r="Y223" s="87">
        <v>57959.440890000042</v>
      </c>
    </row>
    <row r="224" spans="1:25">
      <c r="A224" t="s">
        <v>349</v>
      </c>
      <c r="B224" t="s">
        <v>68</v>
      </c>
      <c r="C224" t="s">
        <v>69</v>
      </c>
      <c r="D224" t="s">
        <v>43</v>
      </c>
      <c r="E224" t="s">
        <v>37</v>
      </c>
      <c r="F224" t="s">
        <v>70</v>
      </c>
      <c r="G224" t="s">
        <v>71</v>
      </c>
      <c r="H224" s="1">
        <v>45586</v>
      </c>
      <c r="I224" s="1">
        <v>45589</v>
      </c>
      <c r="J224" s="86">
        <v>172157.23199999999</v>
      </c>
      <c r="K224" s="88">
        <v>4.21</v>
      </c>
      <c r="L224" s="88">
        <v>4.2</v>
      </c>
      <c r="M224" s="1">
        <v>45610</v>
      </c>
      <c r="N224" s="1">
        <v>45607</v>
      </c>
      <c r="O224" s="86">
        <v>172157.23199999999</v>
      </c>
      <c r="P224" t="s">
        <v>32</v>
      </c>
      <c r="Q224">
        <v>1</v>
      </c>
      <c r="R224">
        <v>1</v>
      </c>
      <c r="S224">
        <v>1</v>
      </c>
      <c r="T224" s="89">
        <v>18</v>
      </c>
      <c r="U224">
        <v>2024</v>
      </c>
      <c r="V224" s="90">
        <v>45566</v>
      </c>
      <c r="W224" s="87">
        <v>724781.94671999989</v>
      </c>
      <c r="X224" s="87">
        <v>723060.37439999997</v>
      </c>
      <c r="Y224" s="87">
        <v>1721.5723199999632</v>
      </c>
    </row>
    <row r="225" spans="1:25">
      <c r="A225" t="s">
        <v>350</v>
      </c>
      <c r="B225" t="s">
        <v>117</v>
      </c>
      <c r="C225" t="s">
        <v>118</v>
      </c>
      <c r="D225" t="s">
        <v>119</v>
      </c>
      <c r="E225" t="s">
        <v>120</v>
      </c>
      <c r="F225" t="s">
        <v>121</v>
      </c>
      <c r="G225" t="s">
        <v>122</v>
      </c>
      <c r="H225" s="1">
        <v>45586</v>
      </c>
      <c r="I225" s="1">
        <v>45588</v>
      </c>
      <c r="J225" s="86">
        <v>14279404.895</v>
      </c>
      <c r="K225" s="88">
        <v>4.1000000000000003E-3</v>
      </c>
      <c r="L225" s="88">
        <v>4.0000000000000001E-3</v>
      </c>
      <c r="M225" s="1">
        <v>45623</v>
      </c>
      <c r="N225" s="1">
        <v>45634</v>
      </c>
      <c r="O225" s="86">
        <v>14279404.895</v>
      </c>
      <c r="P225" t="s">
        <v>32</v>
      </c>
      <c r="Q225">
        <v>0</v>
      </c>
      <c r="R225">
        <v>1</v>
      </c>
      <c r="S225">
        <v>0</v>
      </c>
      <c r="T225" s="89">
        <v>46</v>
      </c>
      <c r="U225">
        <v>2024</v>
      </c>
      <c r="V225" s="90">
        <v>45566</v>
      </c>
      <c r="W225" s="87">
        <v>58545.560069500003</v>
      </c>
      <c r="X225" s="87">
        <v>57117.619579999999</v>
      </c>
      <c r="Y225" s="87">
        <v>1427.9404895000037</v>
      </c>
    </row>
    <row r="226" spans="1:25">
      <c r="A226" t="s">
        <v>351</v>
      </c>
      <c r="B226" t="s">
        <v>124</v>
      </c>
      <c r="C226" t="s">
        <v>125</v>
      </c>
      <c r="D226" t="s">
        <v>119</v>
      </c>
      <c r="E226" t="s">
        <v>126</v>
      </c>
      <c r="F226" t="s">
        <v>121</v>
      </c>
      <c r="G226" t="s">
        <v>122</v>
      </c>
      <c r="H226" s="1">
        <v>45587</v>
      </c>
      <c r="I226" s="1">
        <v>45591</v>
      </c>
      <c r="J226" s="86">
        <v>8329652.8550000004</v>
      </c>
      <c r="K226" s="88">
        <v>2.0500000000000001E-2</v>
      </c>
      <c r="L226" s="88">
        <v>0.02</v>
      </c>
      <c r="M226" s="1">
        <v>45626</v>
      </c>
      <c r="N226" s="1">
        <v>45633</v>
      </c>
      <c r="O226" s="86">
        <v>8329652.8550000004</v>
      </c>
      <c r="P226" t="s">
        <v>32</v>
      </c>
      <c r="Q226">
        <v>0</v>
      </c>
      <c r="R226">
        <v>1</v>
      </c>
      <c r="S226">
        <v>0</v>
      </c>
      <c r="T226" s="89">
        <v>42</v>
      </c>
      <c r="U226">
        <v>2024</v>
      </c>
      <c r="V226" s="90">
        <v>45566</v>
      </c>
      <c r="W226" s="87">
        <v>170757.8835275</v>
      </c>
      <c r="X226" s="87">
        <v>166593.05710000001</v>
      </c>
      <c r="Y226" s="87">
        <v>4164.8264275000038</v>
      </c>
    </row>
    <row r="227" spans="1:25">
      <c r="A227" t="s">
        <v>352</v>
      </c>
      <c r="B227" t="s">
        <v>128</v>
      </c>
      <c r="C227" t="s">
        <v>129</v>
      </c>
      <c r="D227" t="s">
        <v>130</v>
      </c>
      <c r="E227" t="s">
        <v>84</v>
      </c>
      <c r="F227" t="s">
        <v>131</v>
      </c>
      <c r="G227" t="s">
        <v>132</v>
      </c>
      <c r="H227" s="1">
        <v>45588</v>
      </c>
      <c r="I227" s="1">
        <v>45590</v>
      </c>
      <c r="J227" s="86">
        <v>2</v>
      </c>
      <c r="K227" s="88">
        <v>66006.179999999993</v>
      </c>
      <c r="L227" s="88">
        <v>65000</v>
      </c>
      <c r="M227" s="1">
        <v>45660</v>
      </c>
      <c r="N227" s="1">
        <v>45666</v>
      </c>
      <c r="O227" s="86">
        <v>2</v>
      </c>
      <c r="P227" t="s">
        <v>32</v>
      </c>
      <c r="Q227">
        <v>0</v>
      </c>
      <c r="R227">
        <v>1</v>
      </c>
      <c r="S227">
        <v>0</v>
      </c>
      <c r="T227" s="89">
        <v>76</v>
      </c>
      <c r="U227">
        <v>2024</v>
      </c>
      <c r="V227" s="90">
        <v>45566</v>
      </c>
      <c r="W227" s="87">
        <v>132012.35999999999</v>
      </c>
      <c r="X227" s="87">
        <v>130000</v>
      </c>
      <c r="Y227" s="87">
        <v>2012.359999999986</v>
      </c>
    </row>
    <row r="228" spans="1:25">
      <c r="A228" t="s">
        <v>353</v>
      </c>
      <c r="B228" t="s">
        <v>140</v>
      </c>
      <c r="C228" t="s">
        <v>141</v>
      </c>
      <c r="D228" t="s">
        <v>142</v>
      </c>
      <c r="E228" t="s">
        <v>84</v>
      </c>
      <c r="F228" t="s">
        <v>143</v>
      </c>
      <c r="G228" t="s">
        <v>144</v>
      </c>
      <c r="H228" s="1">
        <v>45586</v>
      </c>
      <c r="I228" s="1">
        <v>45594</v>
      </c>
      <c r="J228" s="86">
        <v>23863869.826000001</v>
      </c>
      <c r="K228" s="88">
        <v>1.21E-2</v>
      </c>
      <c r="L228" s="88">
        <v>1.2E-2</v>
      </c>
      <c r="M228" s="1">
        <v>45608</v>
      </c>
      <c r="N228" s="1">
        <v>45605</v>
      </c>
      <c r="O228" s="86">
        <v>23863869.826000001</v>
      </c>
      <c r="P228" t="s">
        <v>32</v>
      </c>
      <c r="Q228">
        <v>1</v>
      </c>
      <c r="R228">
        <v>1</v>
      </c>
      <c r="S228">
        <v>1</v>
      </c>
      <c r="T228" s="89">
        <v>11</v>
      </c>
      <c r="U228">
        <v>2024</v>
      </c>
      <c r="V228" s="90">
        <v>45566</v>
      </c>
      <c r="W228" s="87">
        <v>288752.82489460002</v>
      </c>
      <c r="X228" s="87">
        <v>286366.43791199999</v>
      </c>
      <c r="Y228" s="87">
        <v>2386.3869825999859</v>
      </c>
    </row>
    <row r="229" spans="1:25">
      <c r="A229" t="s">
        <v>354</v>
      </c>
      <c r="B229" t="s">
        <v>26</v>
      </c>
      <c r="C229" t="s">
        <v>27</v>
      </c>
      <c r="D229" t="s">
        <v>28</v>
      </c>
      <c r="E229" t="s">
        <v>29</v>
      </c>
      <c r="F229" t="s">
        <v>30</v>
      </c>
      <c r="G229" t="s">
        <v>31</v>
      </c>
      <c r="H229" s="1">
        <v>45593</v>
      </c>
      <c r="I229" s="1">
        <v>45597</v>
      </c>
      <c r="J229" s="86">
        <v>28651.581999999999</v>
      </c>
      <c r="K229" s="88">
        <v>121.51</v>
      </c>
      <c r="L229" s="88">
        <v>118</v>
      </c>
      <c r="M229" s="1">
        <v>45639</v>
      </c>
      <c r="N229" s="1">
        <v>45642</v>
      </c>
      <c r="O229" s="86">
        <v>28651.581999999999</v>
      </c>
      <c r="P229" t="s">
        <v>32</v>
      </c>
      <c r="Q229">
        <v>0</v>
      </c>
      <c r="R229">
        <v>1</v>
      </c>
      <c r="S229">
        <v>0</v>
      </c>
      <c r="T229" s="89">
        <v>45</v>
      </c>
      <c r="U229">
        <v>2024</v>
      </c>
      <c r="V229" s="90">
        <v>45597</v>
      </c>
      <c r="W229" s="87">
        <v>3481453.7288199998</v>
      </c>
      <c r="X229" s="87">
        <v>3380886.676</v>
      </c>
      <c r="Y229" s="87">
        <v>100567.05282000014</v>
      </c>
    </row>
    <row r="230" spans="1:25">
      <c r="A230" t="s">
        <v>355</v>
      </c>
      <c r="B230" t="s">
        <v>47</v>
      </c>
      <c r="C230" t="s">
        <v>48</v>
      </c>
      <c r="D230" t="s">
        <v>49</v>
      </c>
      <c r="E230" t="s">
        <v>50</v>
      </c>
      <c r="F230" t="s">
        <v>51</v>
      </c>
      <c r="G230" t="s">
        <v>52</v>
      </c>
      <c r="H230" s="1">
        <v>45593</v>
      </c>
      <c r="I230" s="1">
        <v>45600</v>
      </c>
      <c r="J230" s="86">
        <v>146.63</v>
      </c>
      <c r="K230" s="88">
        <v>1901.65</v>
      </c>
      <c r="L230" s="88">
        <v>1850</v>
      </c>
      <c r="M230" s="1">
        <v>45656</v>
      </c>
      <c r="N230" s="1">
        <v>45665</v>
      </c>
      <c r="O230" s="86">
        <v>146.63</v>
      </c>
      <c r="P230" t="s">
        <v>32</v>
      </c>
      <c r="Q230">
        <v>0</v>
      </c>
      <c r="R230">
        <v>1</v>
      </c>
      <c r="S230">
        <v>0</v>
      </c>
      <c r="T230" s="89">
        <v>65</v>
      </c>
      <c r="U230">
        <v>2024</v>
      </c>
      <c r="V230" s="90">
        <v>45597</v>
      </c>
      <c r="W230" s="87">
        <v>278838.93949999998</v>
      </c>
      <c r="X230" s="87">
        <v>271265.5</v>
      </c>
      <c r="Y230" s="87">
        <v>7573.4395000000131</v>
      </c>
    </row>
    <row r="231" spans="1:25">
      <c r="A231" t="s">
        <v>356</v>
      </c>
      <c r="B231" t="s">
        <v>63</v>
      </c>
      <c r="C231" t="s">
        <v>64</v>
      </c>
      <c r="D231" t="s">
        <v>49</v>
      </c>
      <c r="E231" t="s">
        <v>56</v>
      </c>
      <c r="F231" t="s">
        <v>65</v>
      </c>
      <c r="G231" t="s">
        <v>66</v>
      </c>
      <c r="H231" s="1">
        <v>45594</v>
      </c>
      <c r="I231" s="1">
        <v>45598</v>
      </c>
      <c r="J231" s="86">
        <v>3438.5990000000002</v>
      </c>
      <c r="K231" s="88">
        <v>163.28</v>
      </c>
      <c r="L231" s="88">
        <v>160</v>
      </c>
      <c r="M231" s="1">
        <v>45626</v>
      </c>
      <c r="N231" s="1">
        <v>45623</v>
      </c>
      <c r="O231" s="86">
        <v>3438.5990000000002</v>
      </c>
      <c r="P231" t="s">
        <v>32</v>
      </c>
      <c r="Q231">
        <v>1</v>
      </c>
      <c r="R231">
        <v>1</v>
      </c>
      <c r="S231">
        <v>1</v>
      </c>
      <c r="T231" s="89">
        <v>25</v>
      </c>
      <c r="U231">
        <v>2024</v>
      </c>
      <c r="V231" s="90">
        <v>45597</v>
      </c>
      <c r="W231" s="87">
        <v>561454.44472000003</v>
      </c>
      <c r="X231" s="87">
        <v>550175.84000000008</v>
      </c>
      <c r="Y231" s="87">
        <v>11278.604720000005</v>
      </c>
    </row>
    <row r="232" spans="1:25">
      <c r="A232" t="s">
        <v>357</v>
      </c>
      <c r="B232" t="s">
        <v>98</v>
      </c>
      <c r="C232" t="s">
        <v>99</v>
      </c>
      <c r="D232" t="s">
        <v>100</v>
      </c>
      <c r="E232" t="s">
        <v>101</v>
      </c>
      <c r="F232" t="s">
        <v>102</v>
      </c>
      <c r="G232" t="s">
        <v>103</v>
      </c>
      <c r="H232" s="1">
        <v>45594</v>
      </c>
      <c r="I232" s="1">
        <v>45596</v>
      </c>
      <c r="J232" s="86">
        <v>22.92</v>
      </c>
      <c r="K232" s="88">
        <v>6282.09</v>
      </c>
      <c r="L232" s="88">
        <v>6200</v>
      </c>
      <c r="M232" s="1">
        <v>45645</v>
      </c>
      <c r="N232" s="1">
        <v>45649</v>
      </c>
      <c r="O232" s="86">
        <v>22.92</v>
      </c>
      <c r="P232" t="s">
        <v>32</v>
      </c>
      <c r="Q232">
        <v>0</v>
      </c>
      <c r="R232">
        <v>1</v>
      </c>
      <c r="S232">
        <v>0</v>
      </c>
      <c r="T232" s="89">
        <v>53</v>
      </c>
      <c r="U232">
        <v>2024</v>
      </c>
      <c r="V232" s="90">
        <v>45566</v>
      </c>
      <c r="W232" s="87">
        <v>143985.50280000002</v>
      </c>
      <c r="X232" s="87">
        <v>142104</v>
      </c>
      <c r="Y232" s="87">
        <v>1881.5028000000034</v>
      </c>
    </row>
    <row r="233" spans="1:25">
      <c r="A233" t="s">
        <v>358</v>
      </c>
      <c r="B233" t="s">
        <v>111</v>
      </c>
      <c r="C233" t="s">
        <v>112</v>
      </c>
      <c r="D233" t="s">
        <v>113</v>
      </c>
      <c r="E233" t="s">
        <v>84</v>
      </c>
      <c r="F233" t="s">
        <v>114</v>
      </c>
      <c r="G233" t="s">
        <v>115</v>
      </c>
      <c r="H233" s="1">
        <v>45594</v>
      </c>
      <c r="I233" s="1">
        <v>45595</v>
      </c>
      <c r="J233" s="86">
        <v>23593267.32</v>
      </c>
      <c r="K233" s="88">
        <v>0.1145</v>
      </c>
      <c r="L233" s="88">
        <v>0.11</v>
      </c>
      <c r="M233" s="1">
        <v>45665</v>
      </c>
      <c r="N233" s="1">
        <v>45672</v>
      </c>
      <c r="O233" s="86">
        <v>23593267.32</v>
      </c>
      <c r="P233" t="s">
        <v>32</v>
      </c>
      <c r="Q233">
        <v>0</v>
      </c>
      <c r="R233">
        <v>1</v>
      </c>
      <c r="S233">
        <v>0</v>
      </c>
      <c r="T233" s="89">
        <v>77</v>
      </c>
      <c r="U233">
        <v>2024</v>
      </c>
      <c r="V233" s="90">
        <v>45566</v>
      </c>
      <c r="W233" s="87">
        <v>2701429.1081400001</v>
      </c>
      <c r="X233" s="87">
        <v>2595259.4051999999</v>
      </c>
      <c r="Y233" s="87">
        <v>106169.70294000009</v>
      </c>
    </row>
    <row r="234" spans="1:25">
      <c r="A234" t="s">
        <v>359</v>
      </c>
      <c r="B234" t="s">
        <v>86</v>
      </c>
      <c r="C234" t="s">
        <v>87</v>
      </c>
      <c r="D234" t="s">
        <v>88</v>
      </c>
      <c r="E234" t="s">
        <v>84</v>
      </c>
      <c r="F234" t="s">
        <v>89</v>
      </c>
      <c r="G234" t="s">
        <v>90</v>
      </c>
      <c r="H234" s="1">
        <v>45600</v>
      </c>
      <c r="I234" s="1">
        <v>45603</v>
      </c>
      <c r="J234" s="86">
        <v>17.16</v>
      </c>
      <c r="K234" s="88">
        <v>9969.8799999999992</v>
      </c>
      <c r="L234" s="88">
        <v>9500</v>
      </c>
      <c r="M234" s="1">
        <v>45666</v>
      </c>
      <c r="N234" s="1">
        <v>45666</v>
      </c>
      <c r="O234" s="86">
        <v>17.16</v>
      </c>
      <c r="P234" t="s">
        <v>32</v>
      </c>
      <c r="Q234">
        <v>1</v>
      </c>
      <c r="R234">
        <v>1</v>
      </c>
      <c r="S234">
        <v>1</v>
      </c>
      <c r="T234" s="89">
        <v>63</v>
      </c>
      <c r="U234">
        <v>2024</v>
      </c>
      <c r="V234" s="90">
        <v>45597</v>
      </c>
      <c r="W234" s="87">
        <v>171083.14079999999</v>
      </c>
      <c r="X234" s="87">
        <v>163020</v>
      </c>
      <c r="Y234" s="87">
        <v>8063.1407999999865</v>
      </c>
    </row>
    <row r="235" spans="1:25">
      <c r="A235" t="s">
        <v>360</v>
      </c>
      <c r="B235" t="s">
        <v>73</v>
      </c>
      <c r="C235" t="s">
        <v>74</v>
      </c>
      <c r="D235" t="s">
        <v>43</v>
      </c>
      <c r="E235" t="s">
        <v>37</v>
      </c>
      <c r="F235" t="s">
        <v>70</v>
      </c>
      <c r="G235" t="s">
        <v>71</v>
      </c>
      <c r="H235" s="1">
        <v>45607</v>
      </c>
      <c r="I235" s="1">
        <v>45612</v>
      </c>
      <c r="J235" s="86">
        <v>71474.005999999994</v>
      </c>
      <c r="K235" s="88">
        <v>7.03</v>
      </c>
      <c r="L235" s="88">
        <v>6.8</v>
      </c>
      <c r="M235" s="1">
        <v>45633</v>
      </c>
      <c r="N235" s="1">
        <v>45636</v>
      </c>
      <c r="O235" s="86">
        <v>71474.005999999994</v>
      </c>
      <c r="P235" t="s">
        <v>32</v>
      </c>
      <c r="Q235">
        <v>0</v>
      </c>
      <c r="R235">
        <v>1</v>
      </c>
      <c r="S235">
        <v>0</v>
      </c>
      <c r="T235" s="89">
        <v>24</v>
      </c>
      <c r="U235">
        <v>2024</v>
      </c>
      <c r="V235" s="90">
        <v>45597</v>
      </c>
      <c r="W235" s="87">
        <v>502462.26217999996</v>
      </c>
      <c r="X235" s="87">
        <v>486023.24079999997</v>
      </c>
      <c r="Y235" s="87">
        <v>16439.021380000027</v>
      </c>
    </row>
    <row r="236" spans="1:25">
      <c r="A236" t="s">
        <v>361</v>
      </c>
      <c r="B236" t="s">
        <v>76</v>
      </c>
      <c r="C236" t="s">
        <v>77</v>
      </c>
      <c r="D236" t="s">
        <v>78</v>
      </c>
      <c r="E236" t="s">
        <v>37</v>
      </c>
      <c r="F236" t="s">
        <v>79</v>
      </c>
      <c r="G236" t="s">
        <v>80</v>
      </c>
      <c r="H236" s="1">
        <v>45607</v>
      </c>
      <c r="I236" s="1">
        <v>45611</v>
      </c>
      <c r="J236" s="86">
        <v>17211.866999999998</v>
      </c>
      <c r="K236" s="88">
        <v>38.97</v>
      </c>
      <c r="L236" s="88">
        <v>38</v>
      </c>
      <c r="M236" s="1">
        <v>45646</v>
      </c>
      <c r="N236" s="1">
        <v>45643</v>
      </c>
      <c r="O236" s="86">
        <v>17211.866999999998</v>
      </c>
      <c r="P236" t="s">
        <v>32</v>
      </c>
      <c r="Q236">
        <v>1</v>
      </c>
      <c r="R236">
        <v>1</v>
      </c>
      <c r="S236">
        <v>1</v>
      </c>
      <c r="T236" s="89">
        <v>32</v>
      </c>
      <c r="U236">
        <v>2024</v>
      </c>
      <c r="V236" s="90">
        <v>45597</v>
      </c>
      <c r="W236" s="87">
        <v>670746.45698999986</v>
      </c>
      <c r="X236" s="87">
        <v>654050.946</v>
      </c>
      <c r="Y236" s="87">
        <v>16695.510989999981</v>
      </c>
    </row>
    <row r="237" spans="1:25">
      <c r="A237" t="s">
        <v>362</v>
      </c>
      <c r="B237" t="s">
        <v>92</v>
      </c>
      <c r="C237" t="s">
        <v>93</v>
      </c>
      <c r="D237" t="s">
        <v>94</v>
      </c>
      <c r="E237" t="s">
        <v>56</v>
      </c>
      <c r="F237" t="s">
        <v>95</v>
      </c>
      <c r="G237" t="s">
        <v>96</v>
      </c>
      <c r="H237" s="1">
        <v>45607</v>
      </c>
      <c r="I237" s="1">
        <v>45610</v>
      </c>
      <c r="J237" s="86">
        <v>114.35899999999999</v>
      </c>
      <c r="K237" s="88">
        <v>3930.36</v>
      </c>
      <c r="L237" s="88">
        <v>3900</v>
      </c>
      <c r="M237" s="1">
        <v>45680</v>
      </c>
      <c r="N237" s="1">
        <v>45680</v>
      </c>
      <c r="O237" s="86">
        <v>114.35899999999999</v>
      </c>
      <c r="P237" t="s">
        <v>32</v>
      </c>
      <c r="Q237">
        <v>1</v>
      </c>
      <c r="R237">
        <v>1</v>
      </c>
      <c r="S237">
        <v>1</v>
      </c>
      <c r="T237" s="89">
        <v>70</v>
      </c>
      <c r="U237">
        <v>2024</v>
      </c>
      <c r="V237" s="90">
        <v>45597</v>
      </c>
      <c r="W237" s="87">
        <v>449472.03924000001</v>
      </c>
      <c r="X237" s="87">
        <v>446000.1</v>
      </c>
      <c r="Y237" s="87">
        <v>3471.9392400000143</v>
      </c>
    </row>
    <row r="238" spans="1:25">
      <c r="A238" t="s">
        <v>363</v>
      </c>
      <c r="B238" t="s">
        <v>105</v>
      </c>
      <c r="C238" t="s">
        <v>106</v>
      </c>
      <c r="D238" t="s">
        <v>107</v>
      </c>
      <c r="E238" t="s">
        <v>101</v>
      </c>
      <c r="F238" t="s">
        <v>108</v>
      </c>
      <c r="G238" t="s">
        <v>109</v>
      </c>
      <c r="H238" s="1">
        <v>45608</v>
      </c>
      <c r="I238" s="1">
        <v>45615</v>
      </c>
      <c r="J238" s="86">
        <v>3</v>
      </c>
      <c r="K238" s="88">
        <v>48513.09</v>
      </c>
      <c r="L238" s="88">
        <v>48000</v>
      </c>
      <c r="M238" s="1">
        <v>45741</v>
      </c>
      <c r="N238" s="1">
        <v>45741</v>
      </c>
      <c r="O238" s="86">
        <v>3</v>
      </c>
      <c r="P238" t="s">
        <v>32</v>
      </c>
      <c r="Q238">
        <v>1</v>
      </c>
      <c r="R238">
        <v>1</v>
      </c>
      <c r="S238">
        <v>1</v>
      </c>
      <c r="T238" s="89">
        <v>126</v>
      </c>
      <c r="U238">
        <v>2024</v>
      </c>
      <c r="V238" s="90">
        <v>45597</v>
      </c>
      <c r="W238" s="87">
        <v>145539.26999999999</v>
      </c>
      <c r="X238" s="87">
        <v>144000</v>
      </c>
      <c r="Y238" s="87">
        <v>1539.2699999999895</v>
      </c>
    </row>
    <row r="239" spans="1:25">
      <c r="A239" t="s">
        <v>364</v>
      </c>
      <c r="B239" t="s">
        <v>34</v>
      </c>
      <c r="C239" t="s">
        <v>35</v>
      </c>
      <c r="D239" t="s">
        <v>36</v>
      </c>
      <c r="E239" t="s">
        <v>37</v>
      </c>
      <c r="F239" t="s">
        <v>38</v>
      </c>
      <c r="G239" t="s">
        <v>39</v>
      </c>
      <c r="H239" s="1">
        <v>45616</v>
      </c>
      <c r="I239" s="1">
        <v>45620</v>
      </c>
      <c r="J239" s="86">
        <v>5712</v>
      </c>
      <c r="K239" s="88">
        <v>2446.5700000000002</v>
      </c>
      <c r="L239" s="88">
        <v>2400</v>
      </c>
      <c r="M239" s="1">
        <v>45690</v>
      </c>
      <c r="N239" s="1">
        <v>45687</v>
      </c>
      <c r="O239" s="86">
        <v>5712</v>
      </c>
      <c r="P239" t="s">
        <v>365</v>
      </c>
      <c r="Q239">
        <v>1</v>
      </c>
      <c r="R239">
        <v>1</v>
      </c>
      <c r="S239">
        <v>1</v>
      </c>
      <c r="T239" s="89">
        <v>67</v>
      </c>
      <c r="U239">
        <v>2024</v>
      </c>
      <c r="V239" s="90">
        <v>45597</v>
      </c>
      <c r="W239" s="87">
        <v>13974807.840000002</v>
      </c>
      <c r="X239" s="87">
        <v>13708800</v>
      </c>
      <c r="Y239" s="87">
        <v>266007.84000000096</v>
      </c>
    </row>
    <row r="240" spans="1:25">
      <c r="A240" t="s">
        <v>366</v>
      </c>
      <c r="B240" t="s">
        <v>41</v>
      </c>
      <c r="C240" t="s">
        <v>42</v>
      </c>
      <c r="D240" t="s">
        <v>43</v>
      </c>
      <c r="E240" t="s">
        <v>37</v>
      </c>
      <c r="F240" t="s">
        <v>70</v>
      </c>
      <c r="G240" t="s">
        <v>71</v>
      </c>
      <c r="H240" s="1">
        <v>45614</v>
      </c>
      <c r="I240" s="1">
        <v>45617</v>
      </c>
      <c r="J240" s="86">
        <v>51504.014000000003</v>
      </c>
      <c r="K240" s="88">
        <v>9.74</v>
      </c>
      <c r="L240" s="88">
        <v>9.5</v>
      </c>
      <c r="M240" s="1">
        <v>45638</v>
      </c>
      <c r="N240" s="1">
        <v>45636</v>
      </c>
      <c r="O240" s="86">
        <v>51504.014000000003</v>
      </c>
      <c r="P240" t="s">
        <v>32</v>
      </c>
      <c r="Q240">
        <v>1</v>
      </c>
      <c r="R240">
        <v>1</v>
      </c>
      <c r="S240">
        <v>1</v>
      </c>
      <c r="T240" s="89">
        <v>19</v>
      </c>
      <c r="U240">
        <v>2024</v>
      </c>
      <c r="V240" s="90">
        <v>45597</v>
      </c>
      <c r="W240" s="87">
        <v>501649.09636000003</v>
      </c>
      <c r="X240" s="87">
        <v>489288.13300000003</v>
      </c>
      <c r="Y240" s="87">
        <v>12360.963360000012</v>
      </c>
    </row>
    <row r="241" spans="1:25">
      <c r="A241" t="s">
        <v>367</v>
      </c>
      <c r="B241" t="s">
        <v>82</v>
      </c>
      <c r="C241" t="s">
        <v>83</v>
      </c>
      <c r="D241" t="s">
        <v>78</v>
      </c>
      <c r="E241" t="s">
        <v>84</v>
      </c>
      <c r="F241" t="s">
        <v>79</v>
      </c>
      <c r="G241" t="s">
        <v>80</v>
      </c>
      <c r="H241" s="1">
        <v>45616</v>
      </c>
      <c r="I241" s="1">
        <v>45617</v>
      </c>
      <c r="J241" s="86">
        <v>343.41899999999998</v>
      </c>
      <c r="K241" s="88">
        <v>523.64</v>
      </c>
      <c r="L241" s="88">
        <v>520</v>
      </c>
      <c r="M241" s="1">
        <v>45652</v>
      </c>
      <c r="N241" s="1">
        <v>45650</v>
      </c>
      <c r="O241" s="86">
        <v>343.41899999999998</v>
      </c>
      <c r="P241" t="s">
        <v>32</v>
      </c>
      <c r="Q241">
        <v>1</v>
      </c>
      <c r="R241">
        <v>1</v>
      </c>
      <c r="S241">
        <v>1</v>
      </c>
      <c r="T241" s="89">
        <v>33</v>
      </c>
      <c r="U241">
        <v>2024</v>
      </c>
      <c r="V241" s="90">
        <v>45597</v>
      </c>
      <c r="W241" s="87">
        <v>179827.92515999998</v>
      </c>
      <c r="X241" s="87">
        <v>178577.88</v>
      </c>
      <c r="Y241" s="87">
        <v>1250.0451599999953</v>
      </c>
    </row>
    <row r="242" spans="1:25">
      <c r="A242" t="s">
        <v>368</v>
      </c>
      <c r="B242" t="s">
        <v>134</v>
      </c>
      <c r="C242" t="s">
        <v>135</v>
      </c>
      <c r="D242" t="s">
        <v>136</v>
      </c>
      <c r="E242" t="s">
        <v>101</v>
      </c>
      <c r="F242" t="s">
        <v>137</v>
      </c>
      <c r="G242" t="s">
        <v>138</v>
      </c>
      <c r="H242" s="1">
        <v>45614</v>
      </c>
      <c r="I242" s="1">
        <v>45616</v>
      </c>
      <c r="J242" s="86">
        <v>69905.188999999998</v>
      </c>
      <c r="K242" s="88">
        <v>6.64</v>
      </c>
      <c r="L242" s="88">
        <v>6.5</v>
      </c>
      <c r="M242" s="1">
        <v>45672</v>
      </c>
      <c r="N242" s="1">
        <v>45669</v>
      </c>
      <c r="O242" s="86">
        <v>69905.188999999998</v>
      </c>
      <c r="P242" t="s">
        <v>32</v>
      </c>
      <c r="Q242">
        <v>1</v>
      </c>
      <c r="R242">
        <v>1</v>
      </c>
      <c r="S242">
        <v>1</v>
      </c>
      <c r="T242" s="89">
        <v>53</v>
      </c>
      <c r="U242">
        <v>2024</v>
      </c>
      <c r="V242" s="90">
        <v>45597</v>
      </c>
      <c r="W242" s="87">
        <v>464170.45495999994</v>
      </c>
      <c r="X242" s="87">
        <v>454383.72849999997</v>
      </c>
      <c r="Y242" s="87">
        <v>9786.726459999978</v>
      </c>
    </row>
    <row r="243" spans="1:25">
      <c r="A243" t="s">
        <v>369</v>
      </c>
      <c r="B243" t="s">
        <v>54</v>
      </c>
      <c r="C243" t="s">
        <v>55</v>
      </c>
      <c r="D243" t="s">
        <v>49</v>
      </c>
      <c r="E243" t="s">
        <v>56</v>
      </c>
      <c r="F243" t="s">
        <v>65</v>
      </c>
      <c r="G243" t="s">
        <v>66</v>
      </c>
      <c r="H243" s="1">
        <v>45623</v>
      </c>
      <c r="I243" s="1">
        <v>45627</v>
      </c>
      <c r="J243" s="86">
        <v>25807.878000000001</v>
      </c>
      <c r="K243" s="88">
        <v>28.29</v>
      </c>
      <c r="L243" s="88">
        <v>28</v>
      </c>
      <c r="M243" s="1">
        <v>45669</v>
      </c>
      <c r="N243" s="1">
        <v>45667</v>
      </c>
      <c r="O243" s="86">
        <v>25807.878000000001</v>
      </c>
      <c r="P243" t="s">
        <v>32</v>
      </c>
      <c r="Q243">
        <v>1</v>
      </c>
      <c r="R243">
        <v>1</v>
      </c>
      <c r="S243">
        <v>1</v>
      </c>
      <c r="T243" s="89">
        <v>40</v>
      </c>
      <c r="U243">
        <v>2024</v>
      </c>
      <c r="V243" s="90">
        <v>45627</v>
      </c>
      <c r="W243" s="87">
        <v>730104.86861999996</v>
      </c>
      <c r="X243" s="87">
        <v>722620.58400000003</v>
      </c>
      <c r="Y243" s="87">
        <v>7484.2846199999785</v>
      </c>
    </row>
    <row r="244" spans="1:25">
      <c r="A244" t="s">
        <v>370</v>
      </c>
      <c r="B244" t="s">
        <v>105</v>
      </c>
      <c r="C244" t="s">
        <v>106</v>
      </c>
      <c r="D244" t="s">
        <v>107</v>
      </c>
      <c r="E244" t="s">
        <v>101</v>
      </c>
      <c r="F244" t="s">
        <v>108</v>
      </c>
      <c r="G244" t="s">
        <v>109</v>
      </c>
      <c r="H244" s="1">
        <v>45622</v>
      </c>
      <c r="I244" s="1">
        <v>45625</v>
      </c>
      <c r="J244" s="86">
        <v>4.2089999999999996</v>
      </c>
      <c r="K244" s="88">
        <v>49164.95</v>
      </c>
      <c r="L244" s="88">
        <v>48000</v>
      </c>
      <c r="M244" s="1">
        <v>45751</v>
      </c>
      <c r="N244" s="1">
        <v>45750</v>
      </c>
      <c r="O244" s="86">
        <v>4.2089999999999996</v>
      </c>
      <c r="P244" t="s">
        <v>32</v>
      </c>
      <c r="Q244">
        <v>1</v>
      </c>
      <c r="R244">
        <v>1</v>
      </c>
      <c r="S244">
        <v>1</v>
      </c>
      <c r="T244" s="89">
        <v>125</v>
      </c>
      <c r="U244">
        <v>2024</v>
      </c>
      <c r="V244" s="90">
        <v>45597</v>
      </c>
      <c r="W244" s="87">
        <v>206935.27454999997</v>
      </c>
      <c r="X244" s="87">
        <v>202031.99999999997</v>
      </c>
      <c r="Y244" s="87">
        <v>4903.2745499999874</v>
      </c>
    </row>
    <row r="245" spans="1:25">
      <c r="A245" t="s">
        <v>371</v>
      </c>
      <c r="B245" t="s">
        <v>117</v>
      </c>
      <c r="C245" t="s">
        <v>118</v>
      </c>
      <c r="D245" t="s">
        <v>119</v>
      </c>
      <c r="E245" t="s">
        <v>120</v>
      </c>
      <c r="F245" t="s">
        <v>121</v>
      </c>
      <c r="G245" t="s">
        <v>122</v>
      </c>
      <c r="H245" s="1">
        <v>45623</v>
      </c>
      <c r="I245" s="1">
        <v>45625</v>
      </c>
      <c r="J245" s="86">
        <v>13790948.140000001</v>
      </c>
      <c r="K245" s="88">
        <v>4.0000000000000001E-3</v>
      </c>
      <c r="L245" s="88">
        <v>4.0000000000000001E-3</v>
      </c>
      <c r="M245" s="1">
        <v>45660</v>
      </c>
      <c r="N245" s="1">
        <v>45658</v>
      </c>
      <c r="O245" s="86">
        <v>13790948.140000001</v>
      </c>
      <c r="P245" t="s">
        <v>32</v>
      </c>
      <c r="Q245">
        <v>1</v>
      </c>
      <c r="R245">
        <v>1</v>
      </c>
      <c r="S245">
        <v>1</v>
      </c>
      <c r="T245" s="89">
        <v>33</v>
      </c>
      <c r="U245">
        <v>2024</v>
      </c>
      <c r="V245" s="90">
        <v>45597</v>
      </c>
      <c r="W245" s="87">
        <v>55163.792560000002</v>
      </c>
      <c r="X245" s="87">
        <v>55163.792560000002</v>
      </c>
      <c r="Y245" s="87">
        <v>0</v>
      </c>
    </row>
    <row r="246" spans="1:25">
      <c r="A246" t="s">
        <v>372</v>
      </c>
      <c r="B246" t="s">
        <v>124</v>
      </c>
      <c r="C246" t="s">
        <v>125</v>
      </c>
      <c r="D246" t="s">
        <v>119</v>
      </c>
      <c r="E246" t="s">
        <v>126</v>
      </c>
      <c r="F246" t="s">
        <v>121</v>
      </c>
      <c r="G246" t="s">
        <v>122</v>
      </c>
      <c r="H246" s="1">
        <v>45622</v>
      </c>
      <c r="I246" s="1">
        <v>45629</v>
      </c>
      <c r="J246" s="86">
        <v>8053176.3090000004</v>
      </c>
      <c r="K246" s="88">
        <v>2.0299999999999999E-2</v>
      </c>
      <c r="L246" s="88">
        <v>0.02</v>
      </c>
      <c r="M246" s="1">
        <v>45664</v>
      </c>
      <c r="N246" s="1">
        <v>45661</v>
      </c>
      <c r="O246" s="86">
        <v>8053176.3090000004</v>
      </c>
      <c r="P246" t="s">
        <v>32</v>
      </c>
      <c r="Q246">
        <v>1</v>
      </c>
      <c r="R246">
        <v>1</v>
      </c>
      <c r="S246">
        <v>1</v>
      </c>
      <c r="T246" s="89">
        <v>32</v>
      </c>
      <c r="U246">
        <v>2024</v>
      </c>
      <c r="V246" s="90">
        <v>45627</v>
      </c>
      <c r="W246" s="87">
        <v>163479.47907269999</v>
      </c>
      <c r="X246" s="87">
        <v>161063.52618000002</v>
      </c>
      <c r="Y246" s="87">
        <v>2415.9528926999856</v>
      </c>
    </row>
    <row r="247" spans="1:25">
      <c r="A247" t="s">
        <v>373</v>
      </c>
      <c r="B247" t="s">
        <v>140</v>
      </c>
      <c r="C247" t="s">
        <v>141</v>
      </c>
      <c r="D247" t="s">
        <v>142</v>
      </c>
      <c r="E247" t="s">
        <v>84</v>
      </c>
      <c r="F247" t="s">
        <v>143</v>
      </c>
      <c r="G247" t="s">
        <v>144</v>
      </c>
      <c r="H247" s="1">
        <v>45621</v>
      </c>
      <c r="I247" s="1">
        <v>45623</v>
      </c>
      <c r="J247" s="86">
        <v>23044660.041999999</v>
      </c>
      <c r="K247" s="88">
        <v>1.23E-2</v>
      </c>
      <c r="L247" s="88">
        <v>1.2E-2</v>
      </c>
      <c r="M247" s="1">
        <v>45637</v>
      </c>
      <c r="N247" s="1">
        <v>45635</v>
      </c>
      <c r="O247" s="86">
        <v>23044660.041999999</v>
      </c>
      <c r="P247" t="s">
        <v>32</v>
      </c>
      <c r="Q247">
        <v>1</v>
      </c>
      <c r="R247">
        <v>1</v>
      </c>
      <c r="S247">
        <v>1</v>
      </c>
      <c r="T247" s="89">
        <v>12</v>
      </c>
      <c r="U247">
        <v>2024</v>
      </c>
      <c r="V247" s="90">
        <v>45597</v>
      </c>
      <c r="W247" s="87">
        <v>283449.3185166</v>
      </c>
      <c r="X247" s="87">
        <v>276535.92050399998</v>
      </c>
      <c r="Y247" s="87">
        <v>6913.3980125999979</v>
      </c>
    </row>
    <row r="248" spans="1:25">
      <c r="A248" t="s">
        <v>374</v>
      </c>
      <c r="B248" t="s">
        <v>47</v>
      </c>
      <c r="C248" t="s">
        <v>48</v>
      </c>
      <c r="D248" t="s">
        <v>49</v>
      </c>
      <c r="E248" t="s">
        <v>50</v>
      </c>
      <c r="F248" t="s">
        <v>51</v>
      </c>
      <c r="G248" t="s">
        <v>52</v>
      </c>
      <c r="H248" s="1">
        <v>45628</v>
      </c>
      <c r="I248" s="1">
        <v>45629</v>
      </c>
      <c r="J248" s="86">
        <v>144.24199999999999</v>
      </c>
      <c r="K248" s="88">
        <v>1856.59</v>
      </c>
      <c r="L248" s="88">
        <v>1850</v>
      </c>
      <c r="M248" s="1">
        <v>45685</v>
      </c>
      <c r="N248" s="1">
        <v>45682</v>
      </c>
      <c r="O248" s="86">
        <v>144.24199999999999</v>
      </c>
      <c r="P248" t="s">
        <v>32</v>
      </c>
      <c r="Q248">
        <v>1</v>
      </c>
      <c r="R248">
        <v>1</v>
      </c>
      <c r="S248">
        <v>1</v>
      </c>
      <c r="T248" s="89">
        <v>53</v>
      </c>
      <c r="U248">
        <v>2024</v>
      </c>
      <c r="V248" s="90">
        <v>45627</v>
      </c>
      <c r="W248" s="87">
        <v>267798.25477999996</v>
      </c>
      <c r="X248" s="87">
        <v>266847.69999999995</v>
      </c>
      <c r="Y248" s="87">
        <v>950.55477999998811</v>
      </c>
    </row>
    <row r="249" spans="1:25">
      <c r="A249" t="s">
        <v>375</v>
      </c>
      <c r="B249" t="s">
        <v>60</v>
      </c>
      <c r="C249" t="s">
        <v>61</v>
      </c>
      <c r="D249" t="s">
        <v>49</v>
      </c>
      <c r="E249" t="s">
        <v>56</v>
      </c>
      <c r="F249" t="s">
        <v>57</v>
      </c>
      <c r="G249" t="s">
        <v>58</v>
      </c>
      <c r="H249" s="1">
        <v>45628</v>
      </c>
      <c r="I249" s="1">
        <v>45631</v>
      </c>
      <c r="J249" s="86">
        <v>2293.1779999999999</v>
      </c>
      <c r="K249" s="88">
        <v>432.08</v>
      </c>
      <c r="L249" s="88">
        <v>410</v>
      </c>
      <c r="M249" s="1">
        <v>45673</v>
      </c>
      <c r="N249" s="1">
        <v>45670</v>
      </c>
      <c r="O249" s="86">
        <v>2293.1779999999999</v>
      </c>
      <c r="P249" t="s">
        <v>32</v>
      </c>
      <c r="Q249">
        <v>1</v>
      </c>
      <c r="R249">
        <v>1</v>
      </c>
      <c r="S249">
        <v>1</v>
      </c>
      <c r="T249" s="89">
        <v>39</v>
      </c>
      <c r="U249">
        <v>2024</v>
      </c>
      <c r="V249" s="90">
        <v>45627</v>
      </c>
      <c r="W249" s="87">
        <v>990836.35023999994</v>
      </c>
      <c r="X249" s="87">
        <v>940202.98</v>
      </c>
      <c r="Y249" s="87">
        <v>50633.37023999996</v>
      </c>
    </row>
    <row r="250" spans="1:25">
      <c r="A250" t="s">
        <v>376</v>
      </c>
      <c r="B250" t="s">
        <v>68</v>
      </c>
      <c r="C250" t="s">
        <v>69</v>
      </c>
      <c r="D250" t="s">
        <v>43</v>
      </c>
      <c r="E250" t="s">
        <v>37</v>
      </c>
      <c r="F250" t="s">
        <v>44</v>
      </c>
      <c r="G250" t="s">
        <v>45</v>
      </c>
      <c r="H250" s="1">
        <v>45629</v>
      </c>
      <c r="I250" s="1">
        <v>45630</v>
      </c>
      <c r="J250" s="86">
        <v>172520.95699999999</v>
      </c>
      <c r="K250" s="88">
        <v>4.1500000000000004</v>
      </c>
      <c r="L250" s="88">
        <v>4.2</v>
      </c>
      <c r="M250" s="1">
        <v>45651</v>
      </c>
      <c r="N250" s="1">
        <v>45655</v>
      </c>
      <c r="O250" s="86">
        <v>172520.95699999999</v>
      </c>
      <c r="P250" t="s">
        <v>32</v>
      </c>
      <c r="Q250">
        <v>0</v>
      </c>
      <c r="R250">
        <v>1</v>
      </c>
      <c r="S250">
        <v>0</v>
      </c>
      <c r="T250" s="89">
        <v>25</v>
      </c>
      <c r="U250">
        <v>2024</v>
      </c>
      <c r="V250" s="90">
        <v>45627</v>
      </c>
      <c r="W250" s="87">
        <v>715961.97155000002</v>
      </c>
      <c r="X250" s="87">
        <v>724588.01939999999</v>
      </c>
      <c r="Y250" s="87">
        <v>-8626.0478499999699</v>
      </c>
    </row>
    <row r="251" spans="1:25">
      <c r="A251" t="s">
        <v>377</v>
      </c>
      <c r="B251" t="s">
        <v>111</v>
      </c>
      <c r="C251" t="s">
        <v>112</v>
      </c>
      <c r="D251" t="s">
        <v>113</v>
      </c>
      <c r="E251" t="s">
        <v>84</v>
      </c>
      <c r="F251" t="s">
        <v>114</v>
      </c>
      <c r="G251" t="s">
        <v>115</v>
      </c>
      <c r="H251" s="1">
        <v>45628</v>
      </c>
      <c r="I251" s="1">
        <v>45631</v>
      </c>
      <c r="J251" s="86">
        <v>23309197.57</v>
      </c>
      <c r="K251" s="88">
        <v>0.1148</v>
      </c>
      <c r="L251" s="88">
        <v>0.11</v>
      </c>
      <c r="M251" s="1">
        <v>45701</v>
      </c>
      <c r="N251" s="1">
        <v>45713</v>
      </c>
      <c r="O251" s="86">
        <v>23309197.57</v>
      </c>
      <c r="P251" t="s">
        <v>32</v>
      </c>
      <c r="Q251">
        <v>0</v>
      </c>
      <c r="R251">
        <v>1</v>
      </c>
      <c r="S251">
        <v>0</v>
      </c>
      <c r="T251" s="89">
        <v>82</v>
      </c>
      <c r="U251">
        <v>2024</v>
      </c>
      <c r="V251" s="90">
        <v>45627</v>
      </c>
      <c r="W251" s="87">
        <v>2675895.8810359999</v>
      </c>
      <c r="X251" s="87">
        <v>2564011.7327000001</v>
      </c>
      <c r="Y251" s="87">
        <v>111884.14833599997</v>
      </c>
    </row>
    <row r="252" spans="1:25">
      <c r="A252" t="s">
        <v>378</v>
      </c>
      <c r="B252" t="s">
        <v>128</v>
      </c>
      <c r="C252" t="s">
        <v>129</v>
      </c>
      <c r="D252" t="s">
        <v>130</v>
      </c>
      <c r="E252" t="s">
        <v>84</v>
      </c>
      <c r="F252" t="s">
        <v>131</v>
      </c>
      <c r="G252" t="s">
        <v>132</v>
      </c>
      <c r="H252" s="1">
        <v>45628</v>
      </c>
      <c r="I252" s="1">
        <v>45631</v>
      </c>
      <c r="J252" s="86">
        <v>2</v>
      </c>
      <c r="K252" s="88">
        <v>68102.12</v>
      </c>
      <c r="L252" s="88">
        <v>65000</v>
      </c>
      <c r="M252" s="1">
        <v>45701</v>
      </c>
      <c r="N252" s="1">
        <v>45701</v>
      </c>
      <c r="O252" s="86">
        <v>2</v>
      </c>
      <c r="P252" t="s">
        <v>32</v>
      </c>
      <c r="Q252">
        <v>1</v>
      </c>
      <c r="R252">
        <v>1</v>
      </c>
      <c r="S252">
        <v>1</v>
      </c>
      <c r="T252" s="89">
        <v>70</v>
      </c>
      <c r="U252">
        <v>2024</v>
      </c>
      <c r="V252" s="90">
        <v>45627</v>
      </c>
      <c r="W252" s="87">
        <v>136204.24</v>
      </c>
      <c r="X252" s="87">
        <v>130000</v>
      </c>
      <c r="Y252" s="87">
        <v>6204.2399999999907</v>
      </c>
    </row>
    <row r="253" spans="1:25">
      <c r="A253" t="s">
        <v>379</v>
      </c>
      <c r="B253" t="s">
        <v>26</v>
      </c>
      <c r="C253" t="s">
        <v>27</v>
      </c>
      <c r="D253" t="s">
        <v>28</v>
      </c>
      <c r="E253" t="s">
        <v>29</v>
      </c>
      <c r="F253" t="s">
        <v>149</v>
      </c>
      <c r="G253" t="s">
        <v>150</v>
      </c>
      <c r="H253" s="1">
        <v>45635</v>
      </c>
      <c r="I253" s="1">
        <v>45637</v>
      </c>
      <c r="J253" s="86">
        <v>28650</v>
      </c>
      <c r="K253" s="88">
        <v>107.25</v>
      </c>
      <c r="L253" s="88">
        <v>118</v>
      </c>
      <c r="M253" s="1">
        <v>45679</v>
      </c>
      <c r="N253" s="1">
        <v>45678</v>
      </c>
      <c r="O253" s="86">
        <v>28650</v>
      </c>
      <c r="P253" t="s">
        <v>32</v>
      </c>
      <c r="Q253">
        <v>1</v>
      </c>
      <c r="R253">
        <v>1</v>
      </c>
      <c r="S253">
        <v>1</v>
      </c>
      <c r="T253" s="89">
        <v>41</v>
      </c>
      <c r="U253">
        <v>2024</v>
      </c>
      <c r="V253" s="90">
        <v>45627</v>
      </c>
      <c r="W253" s="87">
        <v>3072712.5</v>
      </c>
      <c r="X253" s="87">
        <v>3380700</v>
      </c>
      <c r="Y253" s="87">
        <v>-307987.5</v>
      </c>
    </row>
    <row r="254" spans="1:25">
      <c r="A254" t="s">
        <v>380</v>
      </c>
      <c r="B254" t="s">
        <v>63</v>
      </c>
      <c r="C254" t="s">
        <v>64</v>
      </c>
      <c r="D254" t="s">
        <v>49</v>
      </c>
      <c r="E254" t="s">
        <v>56</v>
      </c>
      <c r="F254" t="s">
        <v>65</v>
      </c>
      <c r="G254" t="s">
        <v>66</v>
      </c>
      <c r="H254" s="1">
        <v>45635</v>
      </c>
      <c r="I254" s="1">
        <v>45638</v>
      </c>
      <c r="J254" s="86">
        <v>3438.8</v>
      </c>
      <c r="K254" s="88">
        <v>163.96</v>
      </c>
      <c r="L254" s="88">
        <v>160</v>
      </c>
      <c r="M254" s="1">
        <v>45666</v>
      </c>
      <c r="N254" s="1">
        <v>45665</v>
      </c>
      <c r="O254" s="86">
        <v>2823.4450000000002</v>
      </c>
      <c r="P254" t="s">
        <v>32</v>
      </c>
      <c r="Q254">
        <v>1</v>
      </c>
      <c r="R254">
        <v>0</v>
      </c>
      <c r="S254">
        <v>0</v>
      </c>
      <c r="T254" s="89">
        <v>27</v>
      </c>
      <c r="U254">
        <v>2024</v>
      </c>
      <c r="V254" s="90">
        <v>45627</v>
      </c>
      <c r="W254" s="87">
        <v>462932.04220000003</v>
      </c>
      <c r="X254" s="87">
        <v>451751.2</v>
      </c>
      <c r="Y254" s="87">
        <v>11180.842200000023</v>
      </c>
    </row>
    <row r="255" spans="1:25">
      <c r="A255" t="s">
        <v>381</v>
      </c>
      <c r="B255" t="s">
        <v>98</v>
      </c>
      <c r="C255" t="s">
        <v>99</v>
      </c>
      <c r="D255" t="s">
        <v>100</v>
      </c>
      <c r="E255" t="s">
        <v>101</v>
      </c>
      <c r="F255" t="s">
        <v>102</v>
      </c>
      <c r="G255" t="s">
        <v>103</v>
      </c>
      <c r="H255" s="1">
        <v>45636</v>
      </c>
      <c r="I255" s="1">
        <v>45641</v>
      </c>
      <c r="J255" s="86">
        <v>22.92</v>
      </c>
      <c r="K255" s="88">
        <v>6357.85</v>
      </c>
      <c r="L255" s="88">
        <v>6200</v>
      </c>
      <c r="M255" s="1">
        <v>45690</v>
      </c>
      <c r="N255" s="1">
        <v>45689</v>
      </c>
      <c r="O255" s="86">
        <v>22.92</v>
      </c>
      <c r="P255" t="s">
        <v>32</v>
      </c>
      <c r="Q255">
        <v>1</v>
      </c>
      <c r="R255">
        <v>1</v>
      </c>
      <c r="S255">
        <v>1</v>
      </c>
      <c r="T255" s="89">
        <v>48</v>
      </c>
      <c r="U255">
        <v>2024</v>
      </c>
      <c r="V255" s="90">
        <v>45627</v>
      </c>
      <c r="W255" s="87">
        <v>145721.92200000002</v>
      </c>
      <c r="X255" s="87">
        <v>142104</v>
      </c>
      <c r="Y255" s="87">
        <v>3617.9220000000087</v>
      </c>
    </row>
    <row r="256" spans="1:25">
      <c r="A256" t="s">
        <v>382</v>
      </c>
      <c r="B256" t="s">
        <v>86</v>
      </c>
      <c r="C256" t="s">
        <v>87</v>
      </c>
      <c r="D256" t="s">
        <v>88</v>
      </c>
      <c r="E256" t="s">
        <v>84</v>
      </c>
      <c r="F256" t="s">
        <v>89</v>
      </c>
      <c r="G256" t="s">
        <v>90</v>
      </c>
      <c r="H256" s="1">
        <v>45644</v>
      </c>
      <c r="I256" s="1">
        <v>45646</v>
      </c>
      <c r="J256" s="86">
        <v>15.03</v>
      </c>
      <c r="K256" s="88">
        <v>9688.68</v>
      </c>
      <c r="L256" s="88">
        <v>9500</v>
      </c>
      <c r="M256" s="1">
        <v>45709</v>
      </c>
      <c r="N256" s="1">
        <v>45708</v>
      </c>
      <c r="O256" s="86">
        <v>15.03</v>
      </c>
      <c r="P256" t="s">
        <v>32</v>
      </c>
      <c r="Q256">
        <v>1</v>
      </c>
      <c r="R256">
        <v>1</v>
      </c>
      <c r="S256">
        <v>1</v>
      </c>
      <c r="T256" s="89">
        <v>62</v>
      </c>
      <c r="U256">
        <v>2024</v>
      </c>
      <c r="V256" s="90">
        <v>45627</v>
      </c>
      <c r="W256" s="87">
        <v>145620.86040000001</v>
      </c>
      <c r="X256" s="87">
        <v>142785</v>
      </c>
      <c r="Y256" s="87">
        <v>2835.8604000000041</v>
      </c>
    </row>
    <row r="257" spans="1:25">
      <c r="A257" t="s">
        <v>383</v>
      </c>
      <c r="B257" t="s">
        <v>105</v>
      </c>
      <c r="C257" t="s">
        <v>106</v>
      </c>
      <c r="D257" t="s">
        <v>107</v>
      </c>
      <c r="E257" t="s">
        <v>101</v>
      </c>
      <c r="F257" t="s">
        <v>108</v>
      </c>
      <c r="G257" t="s">
        <v>109</v>
      </c>
      <c r="H257" s="1">
        <v>45651</v>
      </c>
      <c r="I257" s="1">
        <v>45655</v>
      </c>
      <c r="J257" s="86">
        <v>3.903</v>
      </c>
      <c r="K257" s="88">
        <v>48725.51</v>
      </c>
      <c r="L257" s="88">
        <v>48000</v>
      </c>
      <c r="M257" s="1">
        <v>45781</v>
      </c>
      <c r="N257" s="1">
        <v>45779</v>
      </c>
      <c r="O257" s="86">
        <v>3.903</v>
      </c>
      <c r="P257" t="s">
        <v>32</v>
      </c>
      <c r="Q257">
        <v>1</v>
      </c>
      <c r="R257">
        <v>1</v>
      </c>
      <c r="S257">
        <v>1</v>
      </c>
      <c r="T257" s="89">
        <v>124</v>
      </c>
      <c r="U257">
        <v>2024</v>
      </c>
      <c r="V257" s="90">
        <v>45627</v>
      </c>
      <c r="W257" s="87">
        <v>190175.66553</v>
      </c>
      <c r="X257" s="87">
        <v>187344</v>
      </c>
      <c r="Y257" s="87">
        <v>2831.6655300000079</v>
      </c>
    </row>
    <row r="258" spans="1:25">
      <c r="A258" t="s">
        <v>384</v>
      </c>
      <c r="B258" t="s">
        <v>73</v>
      </c>
      <c r="C258" t="s">
        <v>74</v>
      </c>
      <c r="D258" t="s">
        <v>43</v>
      </c>
      <c r="E258" t="s">
        <v>37</v>
      </c>
      <c r="F258" t="s">
        <v>70</v>
      </c>
      <c r="G258" t="s">
        <v>71</v>
      </c>
      <c r="H258" s="1">
        <v>45656</v>
      </c>
      <c r="I258" s="1">
        <v>45658</v>
      </c>
      <c r="J258" s="86">
        <v>56235.983</v>
      </c>
      <c r="K258" s="88">
        <v>6.74</v>
      </c>
      <c r="L258" s="88">
        <v>7</v>
      </c>
      <c r="M258" s="1">
        <v>45679</v>
      </c>
      <c r="N258" s="1">
        <v>45677</v>
      </c>
      <c r="O258" s="86">
        <v>56235.983</v>
      </c>
      <c r="P258" t="s">
        <v>32</v>
      </c>
      <c r="Q258">
        <v>1</v>
      </c>
      <c r="R258">
        <v>1</v>
      </c>
      <c r="S258">
        <v>1</v>
      </c>
      <c r="T258" s="89">
        <v>19</v>
      </c>
      <c r="U258">
        <v>2025</v>
      </c>
      <c r="V258" s="90">
        <v>45658</v>
      </c>
      <c r="W258" s="87">
        <v>379030.52542000002</v>
      </c>
      <c r="X258" s="87">
        <v>393651.88099999999</v>
      </c>
      <c r="Y258" s="87">
        <v>-14621.355579999989</v>
      </c>
    </row>
    <row r="259" spans="1:25">
      <c r="A259" t="s">
        <v>385</v>
      </c>
      <c r="B259" t="s">
        <v>47</v>
      </c>
      <c r="C259" t="s">
        <v>48</v>
      </c>
      <c r="D259" t="s">
        <v>49</v>
      </c>
      <c r="E259" t="s">
        <v>50</v>
      </c>
      <c r="F259" t="s">
        <v>51</v>
      </c>
      <c r="G259" t="s">
        <v>52</v>
      </c>
      <c r="H259" s="1">
        <v>45663</v>
      </c>
      <c r="I259" s="1">
        <v>45664</v>
      </c>
      <c r="J259" s="86">
        <v>121.009</v>
      </c>
      <c r="K259" s="88">
        <v>1846.24</v>
      </c>
      <c r="L259" s="88">
        <v>1905.5</v>
      </c>
      <c r="M259" s="1">
        <v>45720</v>
      </c>
      <c r="N259" s="1">
        <v>45720</v>
      </c>
      <c r="O259" s="86">
        <v>121.009</v>
      </c>
      <c r="P259" t="s">
        <v>32</v>
      </c>
      <c r="Q259">
        <v>1</v>
      </c>
      <c r="R259">
        <v>1</v>
      </c>
      <c r="S259">
        <v>1</v>
      </c>
      <c r="T259" s="89">
        <v>56</v>
      </c>
      <c r="U259">
        <v>2025</v>
      </c>
      <c r="V259" s="90">
        <v>45658</v>
      </c>
      <c r="W259" s="87">
        <v>223411.65616000001</v>
      </c>
      <c r="X259" s="87">
        <v>230582.6495</v>
      </c>
      <c r="Y259" s="87">
        <v>-7170.9933399999991</v>
      </c>
    </row>
    <row r="260" spans="1:25">
      <c r="A260" t="s">
        <v>386</v>
      </c>
      <c r="B260" t="s">
        <v>76</v>
      </c>
      <c r="C260" t="s">
        <v>77</v>
      </c>
      <c r="D260" t="s">
        <v>78</v>
      </c>
      <c r="E260" t="s">
        <v>37</v>
      </c>
      <c r="F260" t="s">
        <v>79</v>
      </c>
      <c r="G260" t="s">
        <v>80</v>
      </c>
      <c r="H260" s="1">
        <v>45663</v>
      </c>
      <c r="I260" s="1">
        <v>45665</v>
      </c>
      <c r="J260" s="86">
        <v>13593.091</v>
      </c>
      <c r="K260" s="88">
        <v>37.35</v>
      </c>
      <c r="L260" s="88">
        <v>39.14</v>
      </c>
      <c r="M260" s="1">
        <v>45700</v>
      </c>
      <c r="N260" s="1">
        <v>45700</v>
      </c>
      <c r="O260" s="86">
        <v>13593.091</v>
      </c>
      <c r="P260" t="s">
        <v>32</v>
      </c>
      <c r="Q260">
        <v>1</v>
      </c>
      <c r="R260">
        <v>1</v>
      </c>
      <c r="S260">
        <v>1</v>
      </c>
      <c r="T260" s="89">
        <v>35</v>
      </c>
      <c r="U260">
        <v>2025</v>
      </c>
      <c r="V260" s="90">
        <v>45658</v>
      </c>
      <c r="W260" s="87">
        <v>507701.94885000004</v>
      </c>
      <c r="X260" s="87">
        <v>532033.58174000005</v>
      </c>
      <c r="Y260" s="87">
        <v>-24331.63288999999</v>
      </c>
    </row>
    <row r="261" spans="1:25">
      <c r="A261" t="s">
        <v>387</v>
      </c>
      <c r="B261" t="s">
        <v>92</v>
      </c>
      <c r="C261" t="s">
        <v>93</v>
      </c>
      <c r="D261" t="s">
        <v>94</v>
      </c>
      <c r="E261" t="s">
        <v>56</v>
      </c>
      <c r="F261" t="s">
        <v>95</v>
      </c>
      <c r="G261" t="s">
        <v>96</v>
      </c>
      <c r="H261" s="1">
        <v>45665</v>
      </c>
      <c r="I261" s="1">
        <v>45666</v>
      </c>
      <c r="J261" s="86">
        <v>90.454999999999998</v>
      </c>
      <c r="K261" s="88">
        <v>3880.96</v>
      </c>
      <c r="L261" s="88">
        <v>4017</v>
      </c>
      <c r="M261" s="1">
        <v>45736</v>
      </c>
      <c r="N261" s="1">
        <v>45736</v>
      </c>
      <c r="O261" s="86">
        <v>90.454999999999998</v>
      </c>
      <c r="P261" t="s">
        <v>32</v>
      </c>
      <c r="Q261">
        <v>1</v>
      </c>
      <c r="R261">
        <v>1</v>
      </c>
      <c r="S261">
        <v>1</v>
      </c>
      <c r="T261" s="89">
        <v>70</v>
      </c>
      <c r="U261">
        <v>2025</v>
      </c>
      <c r="V261" s="90">
        <v>45658</v>
      </c>
      <c r="W261" s="87">
        <v>351052.23680000001</v>
      </c>
      <c r="X261" s="87">
        <v>363357.73499999999</v>
      </c>
      <c r="Y261" s="87">
        <v>-12305.498199999996</v>
      </c>
    </row>
    <row r="262" spans="1:25">
      <c r="A262" t="s">
        <v>388</v>
      </c>
      <c r="B262" t="s">
        <v>105</v>
      </c>
      <c r="C262" t="s">
        <v>106</v>
      </c>
      <c r="D262" t="s">
        <v>107</v>
      </c>
      <c r="E262" t="s">
        <v>101</v>
      </c>
      <c r="F262" t="s">
        <v>108</v>
      </c>
      <c r="G262" t="s">
        <v>109</v>
      </c>
      <c r="H262" s="1">
        <v>45664</v>
      </c>
      <c r="I262" s="1">
        <v>45665</v>
      </c>
      <c r="J262" s="86">
        <v>3</v>
      </c>
      <c r="K262" s="88">
        <v>47678.81</v>
      </c>
      <c r="L262" s="88">
        <v>49440</v>
      </c>
      <c r="M262" s="1">
        <v>45791</v>
      </c>
      <c r="N262" s="1">
        <v>45790</v>
      </c>
      <c r="O262" s="86">
        <v>3</v>
      </c>
      <c r="P262" t="s">
        <v>32</v>
      </c>
      <c r="Q262">
        <v>1</v>
      </c>
      <c r="R262">
        <v>1</v>
      </c>
      <c r="S262">
        <v>1</v>
      </c>
      <c r="T262" s="89">
        <v>125</v>
      </c>
      <c r="U262">
        <v>2025</v>
      </c>
      <c r="V262" s="90">
        <v>45658</v>
      </c>
      <c r="W262" s="87">
        <v>143036.43</v>
      </c>
      <c r="X262" s="87">
        <v>148320</v>
      </c>
      <c r="Y262" s="87">
        <v>-5283.570000000007</v>
      </c>
    </row>
    <row r="263" spans="1:25">
      <c r="A263" t="s">
        <v>389</v>
      </c>
      <c r="B263" t="s">
        <v>134</v>
      </c>
      <c r="C263" t="s">
        <v>135</v>
      </c>
      <c r="D263" t="s">
        <v>136</v>
      </c>
      <c r="E263" t="s">
        <v>101</v>
      </c>
      <c r="F263" t="s">
        <v>137</v>
      </c>
      <c r="G263" t="s">
        <v>138</v>
      </c>
      <c r="H263" s="1">
        <v>45663</v>
      </c>
      <c r="I263" s="1">
        <v>45665</v>
      </c>
      <c r="J263" s="86">
        <v>60131.987000000001</v>
      </c>
      <c r="K263" s="88">
        <v>6.51</v>
      </c>
      <c r="L263" s="88">
        <v>6.7</v>
      </c>
      <c r="M263" s="1">
        <v>45721</v>
      </c>
      <c r="N263" s="1">
        <v>45721</v>
      </c>
      <c r="O263" s="86">
        <v>60131.987000000001</v>
      </c>
      <c r="P263" t="s">
        <v>32</v>
      </c>
      <c r="Q263">
        <v>1</v>
      </c>
      <c r="R263">
        <v>1</v>
      </c>
      <c r="S263">
        <v>1</v>
      </c>
      <c r="T263" s="89">
        <v>56</v>
      </c>
      <c r="U263">
        <v>2025</v>
      </c>
      <c r="V263" s="90">
        <v>45658</v>
      </c>
      <c r="W263" s="87">
        <v>391459.23537000001</v>
      </c>
      <c r="X263" s="87">
        <v>402884.31290000002</v>
      </c>
      <c r="Y263" s="87">
        <v>-11425.077530000024</v>
      </c>
    </row>
    <row r="264" spans="1:25">
      <c r="A264" t="s">
        <v>390</v>
      </c>
      <c r="B264" t="s">
        <v>41</v>
      </c>
      <c r="C264" t="s">
        <v>42</v>
      </c>
      <c r="D264" t="s">
        <v>43</v>
      </c>
      <c r="E264" t="s">
        <v>37</v>
      </c>
      <c r="F264" t="s">
        <v>44</v>
      </c>
      <c r="G264" t="s">
        <v>45</v>
      </c>
      <c r="H264" s="1">
        <v>45671</v>
      </c>
      <c r="I264" s="1">
        <v>45672</v>
      </c>
      <c r="J264" s="86">
        <v>40792.370000000003</v>
      </c>
      <c r="K264" s="88">
        <v>9.48</v>
      </c>
      <c r="L264" s="88">
        <v>9.7799999999999994</v>
      </c>
      <c r="M264" s="1">
        <v>45693</v>
      </c>
      <c r="N264" s="1">
        <v>45691</v>
      </c>
      <c r="O264" s="86">
        <v>40792.370000000003</v>
      </c>
      <c r="P264" t="s">
        <v>32</v>
      </c>
      <c r="Q264">
        <v>1</v>
      </c>
      <c r="R264">
        <v>1</v>
      </c>
      <c r="S264">
        <v>1</v>
      </c>
      <c r="T264" s="89">
        <v>19</v>
      </c>
      <c r="U264">
        <v>2025</v>
      </c>
      <c r="V264" s="90">
        <v>45658</v>
      </c>
      <c r="W264" s="87">
        <v>386711.66760000004</v>
      </c>
      <c r="X264" s="87">
        <v>398949.3786</v>
      </c>
      <c r="Y264" s="87">
        <v>-12237.710999999957</v>
      </c>
    </row>
    <row r="265" spans="1:25">
      <c r="A265" t="s">
        <v>391</v>
      </c>
      <c r="B265" t="s">
        <v>82</v>
      </c>
      <c r="C265" t="s">
        <v>83</v>
      </c>
      <c r="D265" t="s">
        <v>78</v>
      </c>
      <c r="E265" t="s">
        <v>84</v>
      </c>
      <c r="F265" t="s">
        <v>79</v>
      </c>
      <c r="G265" t="s">
        <v>80</v>
      </c>
      <c r="H265" s="1">
        <v>45672</v>
      </c>
      <c r="I265" s="1">
        <v>45673</v>
      </c>
      <c r="J265" s="86">
        <v>272.01499999999999</v>
      </c>
      <c r="K265" s="88">
        <v>521.82000000000005</v>
      </c>
      <c r="L265" s="88">
        <v>535.6</v>
      </c>
      <c r="M265" s="1">
        <v>45708</v>
      </c>
      <c r="N265" s="1">
        <v>45705</v>
      </c>
      <c r="O265" s="86">
        <v>272.01499999999999</v>
      </c>
      <c r="P265" t="s">
        <v>32</v>
      </c>
      <c r="Q265">
        <v>1</v>
      </c>
      <c r="R265">
        <v>1</v>
      </c>
      <c r="S265">
        <v>1</v>
      </c>
      <c r="T265" s="89">
        <v>32</v>
      </c>
      <c r="U265">
        <v>2025</v>
      </c>
      <c r="V265" s="90">
        <v>45658</v>
      </c>
      <c r="W265" s="87">
        <v>141942.86730000001</v>
      </c>
      <c r="X265" s="87">
        <v>145691.234</v>
      </c>
      <c r="Y265" s="87">
        <v>-3748.3666999999923</v>
      </c>
    </row>
    <row r="266" spans="1:25">
      <c r="A266" t="s">
        <v>392</v>
      </c>
      <c r="B266" t="s">
        <v>111</v>
      </c>
      <c r="C266" t="s">
        <v>112</v>
      </c>
      <c r="D266" t="s">
        <v>113</v>
      </c>
      <c r="E266" t="s">
        <v>84</v>
      </c>
      <c r="F266" t="s">
        <v>114</v>
      </c>
      <c r="G266" t="s">
        <v>115</v>
      </c>
      <c r="H266" s="1">
        <v>45672</v>
      </c>
      <c r="I266" s="1">
        <v>45674</v>
      </c>
      <c r="J266" s="86">
        <v>20916751.839000002</v>
      </c>
      <c r="K266" s="88">
        <v>0.11020000000000001</v>
      </c>
      <c r="L266" s="88">
        <v>0.1133</v>
      </c>
      <c r="M266" s="1">
        <v>45744</v>
      </c>
      <c r="N266" s="1">
        <v>45742</v>
      </c>
      <c r="O266" s="86">
        <v>20916751.839000002</v>
      </c>
      <c r="P266" t="s">
        <v>32</v>
      </c>
      <c r="Q266">
        <v>1</v>
      </c>
      <c r="R266">
        <v>1</v>
      </c>
      <c r="S266">
        <v>1</v>
      </c>
      <c r="T266" s="89">
        <v>68</v>
      </c>
      <c r="U266">
        <v>2025</v>
      </c>
      <c r="V266" s="90">
        <v>45658</v>
      </c>
      <c r="W266" s="87">
        <v>2305026.0526578003</v>
      </c>
      <c r="X266" s="87">
        <v>2369867.9833587003</v>
      </c>
      <c r="Y266" s="87">
        <v>-64841.930700899829</v>
      </c>
    </row>
    <row r="267" spans="1:25">
      <c r="A267" t="s">
        <v>393</v>
      </c>
      <c r="B267" t="s">
        <v>117</v>
      </c>
      <c r="C267" t="s">
        <v>118</v>
      </c>
      <c r="D267" t="s">
        <v>119</v>
      </c>
      <c r="E267" t="s">
        <v>120</v>
      </c>
      <c r="F267" t="s">
        <v>121</v>
      </c>
      <c r="G267" t="s">
        <v>122</v>
      </c>
      <c r="H267" s="1">
        <v>45670</v>
      </c>
      <c r="I267" s="1">
        <v>45671</v>
      </c>
      <c r="J267" s="86">
        <v>12573336.289999999</v>
      </c>
      <c r="K267" s="88">
        <v>4.0000000000000001E-3</v>
      </c>
      <c r="L267" s="88">
        <v>4.1000000000000003E-3</v>
      </c>
      <c r="M267" s="1">
        <v>45706</v>
      </c>
      <c r="N267" s="1">
        <v>45705</v>
      </c>
      <c r="O267" s="86">
        <v>12573336.289999999</v>
      </c>
      <c r="P267" t="s">
        <v>32</v>
      </c>
      <c r="Q267">
        <v>1</v>
      </c>
      <c r="R267">
        <v>1</v>
      </c>
      <c r="S267">
        <v>1</v>
      </c>
      <c r="T267" s="89">
        <v>34</v>
      </c>
      <c r="U267">
        <v>2025</v>
      </c>
      <c r="V267" s="90">
        <v>45658</v>
      </c>
      <c r="W267" s="87">
        <v>50293.345159999997</v>
      </c>
      <c r="X267" s="87">
        <v>51550.678788999998</v>
      </c>
      <c r="Y267" s="87">
        <v>-1257.3336290000032</v>
      </c>
    </row>
    <row r="268" spans="1:25">
      <c r="A268" t="s">
        <v>394</v>
      </c>
      <c r="B268" t="s">
        <v>124</v>
      </c>
      <c r="C268" t="s">
        <v>125</v>
      </c>
      <c r="D268" t="s">
        <v>119</v>
      </c>
      <c r="E268" t="s">
        <v>126</v>
      </c>
      <c r="F268" t="s">
        <v>121</v>
      </c>
      <c r="G268" t="s">
        <v>122</v>
      </c>
      <c r="H268" s="1">
        <v>45672</v>
      </c>
      <c r="I268" s="1">
        <v>45675</v>
      </c>
      <c r="J268" s="86">
        <v>7317048.0769999996</v>
      </c>
      <c r="K268" s="88">
        <v>0.02</v>
      </c>
      <c r="L268" s="88">
        <v>2.06E-2</v>
      </c>
      <c r="M268" s="1">
        <v>45710</v>
      </c>
      <c r="N268" s="1">
        <v>45709</v>
      </c>
      <c r="O268" s="86">
        <v>7317048.0769999996</v>
      </c>
      <c r="P268" t="s">
        <v>32</v>
      </c>
      <c r="Q268">
        <v>1</v>
      </c>
      <c r="R268">
        <v>1</v>
      </c>
      <c r="S268">
        <v>1</v>
      </c>
      <c r="T268" s="89">
        <v>34</v>
      </c>
      <c r="U268">
        <v>2025</v>
      </c>
      <c r="V268" s="90">
        <v>45658</v>
      </c>
      <c r="W268" s="87">
        <v>146340.96153999999</v>
      </c>
      <c r="X268" s="87">
        <v>150731.1903862</v>
      </c>
      <c r="Y268" s="87">
        <v>-4390.2288461999988</v>
      </c>
    </row>
    <row r="269" spans="1:25">
      <c r="A269" t="s">
        <v>395</v>
      </c>
      <c r="B269" t="s">
        <v>140</v>
      </c>
      <c r="C269" t="s">
        <v>141</v>
      </c>
      <c r="D269" t="s">
        <v>142</v>
      </c>
      <c r="E269" t="s">
        <v>84</v>
      </c>
      <c r="F269" t="s">
        <v>143</v>
      </c>
      <c r="G269" t="s">
        <v>144</v>
      </c>
      <c r="H269" s="1">
        <v>45671</v>
      </c>
      <c r="I269" s="1">
        <v>45673</v>
      </c>
      <c r="J269" s="86">
        <v>20946569.414999999</v>
      </c>
      <c r="K269" s="88">
        <v>1.2E-2</v>
      </c>
      <c r="L269" s="88">
        <v>1.24E-2</v>
      </c>
      <c r="M269" s="1">
        <v>45687</v>
      </c>
      <c r="N269" s="1">
        <v>45686</v>
      </c>
      <c r="O269" s="86">
        <v>20946569.414999999</v>
      </c>
      <c r="P269" t="s">
        <v>32</v>
      </c>
      <c r="Q269">
        <v>1</v>
      </c>
      <c r="R269">
        <v>1</v>
      </c>
      <c r="S269">
        <v>1</v>
      </c>
      <c r="T269" s="89">
        <v>13</v>
      </c>
      <c r="U269">
        <v>2025</v>
      </c>
      <c r="V269" s="90">
        <v>45658</v>
      </c>
      <c r="W269" s="87">
        <v>251358.83298000001</v>
      </c>
      <c r="X269" s="87">
        <v>259737.46074599997</v>
      </c>
      <c r="Y269" s="87">
        <v>-8378.6277659999851</v>
      </c>
    </row>
    <row r="270" spans="1:25">
      <c r="A270" t="s">
        <v>396</v>
      </c>
      <c r="B270" t="s">
        <v>54</v>
      </c>
      <c r="C270" t="s">
        <v>55</v>
      </c>
      <c r="D270" t="s">
        <v>49</v>
      </c>
      <c r="E270" t="s">
        <v>56</v>
      </c>
      <c r="F270" t="s">
        <v>65</v>
      </c>
      <c r="G270" t="s">
        <v>66</v>
      </c>
      <c r="H270" s="1">
        <v>45678</v>
      </c>
      <c r="I270" s="1">
        <v>45680</v>
      </c>
      <c r="J270" s="86">
        <v>20395.260999999999</v>
      </c>
      <c r="K270" s="88">
        <v>27.15</v>
      </c>
      <c r="L270" s="88">
        <v>28.84</v>
      </c>
      <c r="M270" s="1">
        <v>45722</v>
      </c>
      <c r="N270" s="1">
        <v>45720</v>
      </c>
      <c r="O270" s="86">
        <v>20395.260999999999</v>
      </c>
      <c r="P270" t="s">
        <v>32</v>
      </c>
      <c r="Q270">
        <v>1</v>
      </c>
      <c r="R270">
        <v>1</v>
      </c>
      <c r="S270">
        <v>1</v>
      </c>
      <c r="T270" s="89">
        <v>40</v>
      </c>
      <c r="U270">
        <v>2025</v>
      </c>
      <c r="V270" s="90">
        <v>45658</v>
      </c>
      <c r="W270" s="87">
        <v>553731.33614999999</v>
      </c>
      <c r="X270" s="87">
        <v>588199.32724000001</v>
      </c>
      <c r="Y270" s="87">
        <v>-34467.991090000025</v>
      </c>
    </row>
    <row r="271" spans="1:25">
      <c r="A271" t="s">
        <v>397</v>
      </c>
      <c r="B271" t="s">
        <v>60</v>
      </c>
      <c r="C271" t="s">
        <v>61</v>
      </c>
      <c r="D271" t="s">
        <v>49</v>
      </c>
      <c r="E271" t="s">
        <v>56</v>
      </c>
      <c r="F271" t="s">
        <v>57</v>
      </c>
      <c r="G271" t="s">
        <v>58</v>
      </c>
      <c r="H271" s="1">
        <v>45679</v>
      </c>
      <c r="I271" s="1">
        <v>45684</v>
      </c>
      <c r="J271" s="86">
        <v>1588.595</v>
      </c>
      <c r="K271" s="88">
        <v>417.66</v>
      </c>
      <c r="L271" s="88">
        <v>434.97</v>
      </c>
      <c r="M271" s="1">
        <v>45726</v>
      </c>
      <c r="N271" s="1">
        <v>45723</v>
      </c>
      <c r="O271" s="86">
        <v>1588.595</v>
      </c>
      <c r="P271" t="s">
        <v>32</v>
      </c>
      <c r="Q271">
        <v>1</v>
      </c>
      <c r="R271">
        <v>1</v>
      </c>
      <c r="S271">
        <v>1</v>
      </c>
      <c r="T271" s="89">
        <v>39</v>
      </c>
      <c r="U271">
        <v>2025</v>
      </c>
      <c r="V271" s="90">
        <v>45658</v>
      </c>
      <c r="W271" s="87">
        <v>663492.58770000003</v>
      </c>
      <c r="X271" s="87">
        <v>690991.16715000011</v>
      </c>
      <c r="Y271" s="87">
        <v>-27498.579450000005</v>
      </c>
    </row>
    <row r="272" spans="1:25">
      <c r="A272" t="s">
        <v>398</v>
      </c>
      <c r="B272" t="s">
        <v>128</v>
      </c>
      <c r="C272" t="s">
        <v>129</v>
      </c>
      <c r="D272" t="s">
        <v>130</v>
      </c>
      <c r="E272" t="s">
        <v>84</v>
      </c>
      <c r="F272" t="s">
        <v>131</v>
      </c>
      <c r="G272" t="s">
        <v>132</v>
      </c>
      <c r="H272" s="1">
        <v>45677</v>
      </c>
      <c r="I272" s="1">
        <v>45679</v>
      </c>
      <c r="J272" s="86">
        <v>1</v>
      </c>
      <c r="K272" s="88">
        <v>64945.18</v>
      </c>
      <c r="L272" s="88">
        <v>66950</v>
      </c>
      <c r="M272" s="1">
        <v>45749</v>
      </c>
      <c r="N272" s="1">
        <v>45746</v>
      </c>
      <c r="O272" s="86">
        <v>1</v>
      </c>
      <c r="P272" t="s">
        <v>32</v>
      </c>
      <c r="Q272">
        <v>1</v>
      </c>
      <c r="R272">
        <v>1</v>
      </c>
      <c r="S272">
        <v>1</v>
      </c>
      <c r="T272" s="89">
        <v>67</v>
      </c>
      <c r="U272">
        <v>2025</v>
      </c>
      <c r="V272" s="90">
        <v>45658</v>
      </c>
      <c r="W272" s="87">
        <v>64945.18</v>
      </c>
      <c r="X272" s="87">
        <v>66950</v>
      </c>
      <c r="Y272" s="87">
        <v>-2004.8199999999997</v>
      </c>
    </row>
    <row r="273" spans="1:25">
      <c r="A273" t="s">
        <v>399</v>
      </c>
      <c r="B273" t="s">
        <v>63</v>
      </c>
      <c r="C273" t="s">
        <v>64</v>
      </c>
      <c r="D273" t="s">
        <v>49</v>
      </c>
      <c r="E273" t="s">
        <v>56</v>
      </c>
      <c r="F273" t="s">
        <v>65</v>
      </c>
      <c r="G273" t="s">
        <v>66</v>
      </c>
      <c r="H273" s="1">
        <v>45684</v>
      </c>
      <c r="I273" s="1">
        <v>45687</v>
      </c>
      <c r="J273" s="86">
        <v>2760.4630000000002</v>
      </c>
      <c r="K273" s="88">
        <v>161.06</v>
      </c>
      <c r="L273" s="88">
        <v>164.8</v>
      </c>
      <c r="M273" s="1">
        <v>45715</v>
      </c>
      <c r="N273" s="1">
        <v>45715</v>
      </c>
      <c r="O273" s="86">
        <v>2760.4630000000002</v>
      </c>
      <c r="P273" t="s">
        <v>32</v>
      </c>
      <c r="Q273">
        <v>1</v>
      </c>
      <c r="R273">
        <v>1</v>
      </c>
      <c r="S273">
        <v>1</v>
      </c>
      <c r="T273" s="89">
        <v>28</v>
      </c>
      <c r="U273">
        <v>2025</v>
      </c>
      <c r="V273" s="90">
        <v>45658</v>
      </c>
      <c r="W273" s="87">
        <v>444600.17078000004</v>
      </c>
      <c r="X273" s="87">
        <v>454924.30240000004</v>
      </c>
      <c r="Y273" s="87">
        <v>-10324.131620000026</v>
      </c>
    </row>
    <row r="274" spans="1:25">
      <c r="A274" t="s">
        <v>400</v>
      </c>
      <c r="B274" t="s">
        <v>68</v>
      </c>
      <c r="C274" t="s">
        <v>69</v>
      </c>
      <c r="D274" t="s">
        <v>43</v>
      </c>
      <c r="E274" t="s">
        <v>37</v>
      </c>
      <c r="F274" t="s">
        <v>44</v>
      </c>
      <c r="G274" t="s">
        <v>45</v>
      </c>
      <c r="H274" s="1">
        <v>45684</v>
      </c>
      <c r="I274" s="1">
        <v>45688</v>
      </c>
      <c r="J274" s="86">
        <v>135928.05799999999</v>
      </c>
      <c r="K274" s="88">
        <v>4.01</v>
      </c>
      <c r="L274" s="88">
        <v>4.17</v>
      </c>
      <c r="M274" s="1">
        <v>45709</v>
      </c>
      <c r="N274" s="1">
        <v>45708</v>
      </c>
      <c r="O274" s="86">
        <v>135928.05799999999</v>
      </c>
      <c r="P274" t="s">
        <v>32</v>
      </c>
      <c r="Q274">
        <v>1</v>
      </c>
      <c r="R274">
        <v>1</v>
      </c>
      <c r="S274">
        <v>1</v>
      </c>
      <c r="T274" s="89">
        <v>20</v>
      </c>
      <c r="U274">
        <v>2025</v>
      </c>
      <c r="V274" s="90">
        <v>45658</v>
      </c>
      <c r="W274" s="87">
        <v>545071.51257999998</v>
      </c>
      <c r="X274" s="87">
        <v>566820.00185999996</v>
      </c>
      <c r="Y274" s="87">
        <v>-21748.489280000016</v>
      </c>
    </row>
    <row r="275" spans="1:25">
      <c r="A275" t="s">
        <v>401</v>
      </c>
      <c r="B275" t="s">
        <v>98</v>
      </c>
      <c r="C275" t="s">
        <v>99</v>
      </c>
      <c r="D275" t="s">
        <v>100</v>
      </c>
      <c r="E275" t="s">
        <v>101</v>
      </c>
      <c r="F275" t="s">
        <v>102</v>
      </c>
      <c r="G275" t="s">
        <v>103</v>
      </c>
      <c r="H275" s="1">
        <v>45685</v>
      </c>
      <c r="I275" s="1">
        <v>45687</v>
      </c>
      <c r="J275" s="86">
        <v>15.94</v>
      </c>
      <c r="K275" s="88">
        <v>6385.66</v>
      </c>
      <c r="L275" s="88">
        <v>6386</v>
      </c>
      <c r="M275" s="1">
        <v>45736</v>
      </c>
      <c r="N275" s="1">
        <v>45734</v>
      </c>
      <c r="O275" s="86">
        <v>15.94</v>
      </c>
      <c r="P275" t="s">
        <v>32</v>
      </c>
      <c r="Q275">
        <v>1</v>
      </c>
      <c r="R275">
        <v>1</v>
      </c>
      <c r="S275">
        <v>1</v>
      </c>
      <c r="T275" s="89">
        <v>47</v>
      </c>
      <c r="U275">
        <v>2025</v>
      </c>
      <c r="V275" s="90">
        <v>45658</v>
      </c>
      <c r="W275" s="87">
        <v>101787.42039999999</v>
      </c>
      <c r="X275" s="87">
        <v>101792.84</v>
      </c>
      <c r="Y275" s="87">
        <v>-5.419600000002319</v>
      </c>
    </row>
    <row r="276" spans="1:25">
      <c r="A276" t="s">
        <v>402</v>
      </c>
      <c r="B276" t="s">
        <v>128</v>
      </c>
      <c r="C276" t="s">
        <v>129</v>
      </c>
      <c r="D276" t="s">
        <v>130</v>
      </c>
      <c r="E276" t="s">
        <v>84</v>
      </c>
      <c r="F276" t="s">
        <v>131</v>
      </c>
      <c r="G276" t="s">
        <v>132</v>
      </c>
      <c r="H276" s="1">
        <v>45686</v>
      </c>
      <c r="I276" s="1">
        <v>45689</v>
      </c>
      <c r="J276" s="86">
        <v>1</v>
      </c>
      <c r="K276" s="88">
        <v>72260.160000000003</v>
      </c>
      <c r="L276" s="88">
        <v>66950</v>
      </c>
      <c r="M276" s="1">
        <v>45710</v>
      </c>
      <c r="N276" s="1">
        <v>45710</v>
      </c>
      <c r="O276" s="86">
        <v>1</v>
      </c>
      <c r="P276" t="s">
        <v>213</v>
      </c>
      <c r="Q276">
        <v>1</v>
      </c>
      <c r="R276">
        <v>1</v>
      </c>
      <c r="S276">
        <v>1</v>
      </c>
      <c r="T276" s="89">
        <v>21</v>
      </c>
      <c r="U276">
        <v>2025</v>
      </c>
      <c r="V276" s="90">
        <v>45689</v>
      </c>
      <c r="W276" s="87">
        <v>72260.160000000003</v>
      </c>
      <c r="X276" s="87">
        <v>66950</v>
      </c>
      <c r="Y276" s="87">
        <v>5310.1600000000035</v>
      </c>
    </row>
    <row r="277" spans="1:25">
      <c r="A277" t="s">
        <v>403</v>
      </c>
      <c r="B277" t="s">
        <v>26</v>
      </c>
      <c r="C277" t="s">
        <v>27</v>
      </c>
      <c r="D277" t="s">
        <v>28</v>
      </c>
      <c r="E277" t="s">
        <v>29</v>
      </c>
      <c r="F277" t="s">
        <v>30</v>
      </c>
      <c r="G277" t="s">
        <v>31</v>
      </c>
      <c r="H277" s="1">
        <v>45691</v>
      </c>
      <c r="I277" s="1">
        <v>45692</v>
      </c>
      <c r="J277" s="86">
        <v>22687.91</v>
      </c>
      <c r="K277" s="88">
        <v>103.36</v>
      </c>
      <c r="L277" s="88">
        <v>107.13</v>
      </c>
      <c r="M277" s="1">
        <v>45734</v>
      </c>
      <c r="N277" s="1">
        <v>45737</v>
      </c>
      <c r="O277" s="86">
        <v>22687.91</v>
      </c>
      <c r="P277" t="s">
        <v>32</v>
      </c>
      <c r="Q277">
        <v>0</v>
      </c>
      <c r="R277">
        <v>1</v>
      </c>
      <c r="S277">
        <v>0</v>
      </c>
      <c r="T277" s="89">
        <v>45</v>
      </c>
      <c r="U277">
        <v>2025</v>
      </c>
      <c r="V277" s="90">
        <v>45689</v>
      </c>
      <c r="W277" s="87">
        <v>2345022.3775999998</v>
      </c>
      <c r="X277" s="87">
        <v>2430555.7982999999</v>
      </c>
      <c r="Y277" s="87">
        <v>-85533.420699999915</v>
      </c>
    </row>
    <row r="278" spans="1:25">
      <c r="A278" t="s">
        <v>404</v>
      </c>
      <c r="B278" t="s">
        <v>73</v>
      </c>
      <c r="C278" t="s">
        <v>74</v>
      </c>
      <c r="D278" t="s">
        <v>43</v>
      </c>
      <c r="E278" t="s">
        <v>37</v>
      </c>
      <c r="F278" t="s">
        <v>70</v>
      </c>
      <c r="G278" t="s">
        <v>71</v>
      </c>
      <c r="H278" s="1">
        <v>45691</v>
      </c>
      <c r="I278" s="1">
        <v>45692</v>
      </c>
      <c r="J278" s="86">
        <v>59969.837</v>
      </c>
      <c r="K278" s="88">
        <v>6.69</v>
      </c>
      <c r="L278" s="88">
        <v>7</v>
      </c>
      <c r="M278" s="1">
        <v>45713</v>
      </c>
      <c r="N278" s="1">
        <v>45713</v>
      </c>
      <c r="O278" s="86">
        <v>59969.837</v>
      </c>
      <c r="P278" t="s">
        <v>32</v>
      </c>
      <c r="Q278">
        <v>1</v>
      </c>
      <c r="R278">
        <v>1</v>
      </c>
      <c r="S278">
        <v>1</v>
      </c>
      <c r="T278" s="89">
        <v>21</v>
      </c>
      <c r="U278">
        <v>2025</v>
      </c>
      <c r="V278" s="90">
        <v>45689</v>
      </c>
      <c r="W278" s="87">
        <v>401198.20952999999</v>
      </c>
      <c r="X278" s="87">
        <v>419788.859</v>
      </c>
      <c r="Y278" s="87">
        <v>-18590.649469999975</v>
      </c>
    </row>
    <row r="279" spans="1:25">
      <c r="A279" t="s">
        <v>405</v>
      </c>
      <c r="B279" t="s">
        <v>76</v>
      </c>
      <c r="C279" t="s">
        <v>77</v>
      </c>
      <c r="D279" t="s">
        <v>78</v>
      </c>
      <c r="E279" t="s">
        <v>37</v>
      </c>
      <c r="F279" t="s">
        <v>44</v>
      </c>
      <c r="G279" t="s">
        <v>45</v>
      </c>
      <c r="H279" s="1">
        <v>45691</v>
      </c>
      <c r="I279" s="1">
        <v>45695</v>
      </c>
      <c r="J279" s="86">
        <v>11520</v>
      </c>
      <c r="K279" s="88">
        <v>35.32</v>
      </c>
      <c r="L279" s="88">
        <v>39.14</v>
      </c>
      <c r="M279" s="1">
        <v>45730</v>
      </c>
      <c r="N279" s="1">
        <v>45728</v>
      </c>
      <c r="O279" s="86">
        <v>11520</v>
      </c>
      <c r="P279" t="s">
        <v>32</v>
      </c>
      <c r="Q279">
        <v>1</v>
      </c>
      <c r="R279">
        <v>1</v>
      </c>
      <c r="S279">
        <v>1</v>
      </c>
      <c r="T279" s="89">
        <v>33</v>
      </c>
      <c r="U279">
        <v>2025</v>
      </c>
      <c r="V279" s="90">
        <v>45689</v>
      </c>
      <c r="W279" s="87">
        <v>406886.40000000002</v>
      </c>
      <c r="X279" s="87">
        <v>450892.79999999999</v>
      </c>
      <c r="Y279" s="87">
        <v>-44006.400000000001</v>
      </c>
    </row>
    <row r="280" spans="1:25">
      <c r="A280" t="s">
        <v>406</v>
      </c>
      <c r="B280" t="s">
        <v>86</v>
      </c>
      <c r="C280" t="s">
        <v>87</v>
      </c>
      <c r="D280" t="s">
        <v>88</v>
      </c>
      <c r="E280" t="s">
        <v>84</v>
      </c>
      <c r="F280" t="s">
        <v>89</v>
      </c>
      <c r="G280" t="s">
        <v>90</v>
      </c>
      <c r="H280" s="1">
        <v>45691</v>
      </c>
      <c r="I280" s="1">
        <v>45692</v>
      </c>
      <c r="J280" s="86">
        <v>12.914999999999999</v>
      </c>
      <c r="K280" s="88">
        <v>9707.75</v>
      </c>
      <c r="L280" s="88">
        <v>9980.7000000000007</v>
      </c>
      <c r="M280" s="1">
        <v>45755</v>
      </c>
      <c r="N280" s="1">
        <v>45754</v>
      </c>
      <c r="O280" s="86">
        <v>12.914999999999999</v>
      </c>
      <c r="P280" t="s">
        <v>32</v>
      </c>
      <c r="Q280">
        <v>1</v>
      </c>
      <c r="R280">
        <v>1</v>
      </c>
      <c r="S280">
        <v>1</v>
      </c>
      <c r="T280" s="89">
        <v>62</v>
      </c>
      <c r="U280">
        <v>2025</v>
      </c>
      <c r="V280" s="90">
        <v>45689</v>
      </c>
      <c r="W280" s="87">
        <v>125375.59125</v>
      </c>
      <c r="X280" s="87">
        <v>128900.7405</v>
      </c>
      <c r="Y280" s="87">
        <v>-3525.149250000009</v>
      </c>
    </row>
    <row r="281" spans="1:25">
      <c r="A281" t="s">
        <v>407</v>
      </c>
      <c r="B281" t="s">
        <v>92</v>
      </c>
      <c r="C281" t="s">
        <v>93</v>
      </c>
      <c r="D281" t="s">
        <v>94</v>
      </c>
      <c r="E281" t="s">
        <v>56</v>
      </c>
      <c r="F281" t="s">
        <v>95</v>
      </c>
      <c r="G281" t="s">
        <v>96</v>
      </c>
      <c r="H281" s="1">
        <v>45691</v>
      </c>
      <c r="I281" s="1">
        <v>45692</v>
      </c>
      <c r="J281" s="86">
        <v>76.846000000000004</v>
      </c>
      <c r="K281" s="88">
        <v>3929.52</v>
      </c>
      <c r="L281" s="88">
        <v>4017</v>
      </c>
      <c r="M281" s="1">
        <v>45762</v>
      </c>
      <c r="N281" s="1">
        <v>45762</v>
      </c>
      <c r="O281" s="86">
        <v>76.846000000000004</v>
      </c>
      <c r="P281" t="s">
        <v>32</v>
      </c>
      <c r="Q281">
        <v>1</v>
      </c>
      <c r="R281">
        <v>1</v>
      </c>
      <c r="S281">
        <v>1</v>
      </c>
      <c r="T281" s="89">
        <v>70</v>
      </c>
      <c r="U281">
        <v>2025</v>
      </c>
      <c r="V281" s="90">
        <v>45689</v>
      </c>
      <c r="W281" s="87">
        <v>301967.89392</v>
      </c>
      <c r="X281" s="87">
        <v>308690.38200000004</v>
      </c>
      <c r="Y281" s="87">
        <v>-6722.4880800000019</v>
      </c>
    </row>
    <row r="282" spans="1:25">
      <c r="A282" t="s">
        <v>408</v>
      </c>
      <c r="B282" t="s">
        <v>134</v>
      </c>
      <c r="C282" t="s">
        <v>135</v>
      </c>
      <c r="D282" t="s">
        <v>136</v>
      </c>
      <c r="E282" t="s">
        <v>101</v>
      </c>
      <c r="F282" t="s">
        <v>137</v>
      </c>
      <c r="G282" t="s">
        <v>138</v>
      </c>
      <c r="H282" s="1">
        <v>45693</v>
      </c>
      <c r="I282" s="1">
        <v>45696</v>
      </c>
      <c r="J282" s="86">
        <v>52371.892999999996</v>
      </c>
      <c r="K282" s="88">
        <v>6.63</v>
      </c>
      <c r="L282" s="88">
        <v>6.7</v>
      </c>
      <c r="M282" s="1">
        <v>45752</v>
      </c>
      <c r="N282" s="1">
        <v>45754</v>
      </c>
      <c r="O282" s="86">
        <v>52371.892999999996</v>
      </c>
      <c r="P282" t="s">
        <v>32</v>
      </c>
      <c r="Q282">
        <v>0</v>
      </c>
      <c r="R282">
        <v>1</v>
      </c>
      <c r="S282">
        <v>0</v>
      </c>
      <c r="T282" s="89">
        <v>58</v>
      </c>
      <c r="U282">
        <v>2025</v>
      </c>
      <c r="V282" s="90">
        <v>45689</v>
      </c>
      <c r="W282" s="87">
        <v>347225.65058999998</v>
      </c>
      <c r="X282" s="87">
        <v>350891.68309999997</v>
      </c>
      <c r="Y282" s="87">
        <v>-3666.0325100000146</v>
      </c>
    </row>
    <row r="283" spans="1:25">
      <c r="A283" t="s">
        <v>409</v>
      </c>
      <c r="B283" t="s">
        <v>41</v>
      </c>
      <c r="C283" t="s">
        <v>42</v>
      </c>
      <c r="D283" t="s">
        <v>43</v>
      </c>
      <c r="E283" t="s">
        <v>37</v>
      </c>
      <c r="F283" t="s">
        <v>44</v>
      </c>
      <c r="G283" t="s">
        <v>45</v>
      </c>
      <c r="H283" s="1">
        <v>45698</v>
      </c>
      <c r="I283" s="1">
        <v>45699</v>
      </c>
      <c r="J283" s="86">
        <v>34563.953000000001</v>
      </c>
      <c r="K283" s="88">
        <v>9.35</v>
      </c>
      <c r="L283" s="88">
        <v>9.7799999999999994</v>
      </c>
      <c r="M283" s="1">
        <v>45720</v>
      </c>
      <c r="N283" s="1">
        <v>45718</v>
      </c>
      <c r="O283" s="86">
        <v>34563.953000000001</v>
      </c>
      <c r="P283" t="s">
        <v>32</v>
      </c>
      <c r="Q283">
        <v>1</v>
      </c>
      <c r="R283">
        <v>1</v>
      </c>
      <c r="S283">
        <v>1</v>
      </c>
      <c r="T283" s="89">
        <v>19</v>
      </c>
      <c r="U283">
        <v>2025</v>
      </c>
      <c r="V283" s="90">
        <v>45689</v>
      </c>
      <c r="W283" s="87">
        <v>323172.96055000002</v>
      </c>
      <c r="X283" s="87">
        <v>338035.46033999999</v>
      </c>
      <c r="Y283" s="87">
        <v>-14862.499789999991</v>
      </c>
    </row>
    <row r="284" spans="1:25">
      <c r="A284" t="s">
        <v>410</v>
      </c>
      <c r="B284" t="s">
        <v>47</v>
      </c>
      <c r="C284" t="s">
        <v>48</v>
      </c>
      <c r="D284" t="s">
        <v>49</v>
      </c>
      <c r="E284" t="s">
        <v>50</v>
      </c>
      <c r="F284" t="s">
        <v>51</v>
      </c>
      <c r="G284" t="s">
        <v>52</v>
      </c>
      <c r="H284" s="1">
        <v>45700</v>
      </c>
      <c r="I284" s="1">
        <v>45701</v>
      </c>
      <c r="J284" s="86">
        <v>142.59</v>
      </c>
      <c r="K284" s="88">
        <v>1820.41</v>
      </c>
      <c r="L284" s="88">
        <v>1905.5</v>
      </c>
      <c r="M284" s="1">
        <v>45757</v>
      </c>
      <c r="N284" s="1">
        <v>45757</v>
      </c>
      <c r="O284" s="86">
        <v>142.59</v>
      </c>
      <c r="P284" t="s">
        <v>32</v>
      </c>
      <c r="Q284">
        <v>1</v>
      </c>
      <c r="R284">
        <v>1</v>
      </c>
      <c r="S284">
        <v>1</v>
      </c>
      <c r="T284" s="89">
        <v>56</v>
      </c>
      <c r="U284">
        <v>2025</v>
      </c>
      <c r="V284" s="90">
        <v>45689</v>
      </c>
      <c r="W284" s="87">
        <v>259572.26190000001</v>
      </c>
      <c r="X284" s="87">
        <v>271705.245</v>
      </c>
      <c r="Y284" s="87">
        <v>-12132.983099999989</v>
      </c>
    </row>
    <row r="285" spans="1:25">
      <c r="A285" t="s">
        <v>411</v>
      </c>
      <c r="B285" t="s">
        <v>82</v>
      </c>
      <c r="C285" t="s">
        <v>83</v>
      </c>
      <c r="D285" t="s">
        <v>78</v>
      </c>
      <c r="E285" t="s">
        <v>84</v>
      </c>
      <c r="F285" t="s">
        <v>79</v>
      </c>
      <c r="G285" t="s">
        <v>80</v>
      </c>
      <c r="H285" s="1">
        <v>45700</v>
      </c>
      <c r="I285" s="1">
        <v>45701</v>
      </c>
      <c r="J285" s="86">
        <v>230.4</v>
      </c>
      <c r="K285" s="88">
        <v>519.25</v>
      </c>
      <c r="L285" s="88">
        <v>535.6</v>
      </c>
      <c r="M285" s="1">
        <v>45736</v>
      </c>
      <c r="N285" s="1">
        <v>45736</v>
      </c>
      <c r="O285" s="86">
        <v>230.4</v>
      </c>
      <c r="P285" t="s">
        <v>32</v>
      </c>
      <c r="Q285">
        <v>1</v>
      </c>
      <c r="R285">
        <v>1</v>
      </c>
      <c r="S285">
        <v>1</v>
      </c>
      <c r="T285" s="89">
        <v>35</v>
      </c>
      <c r="U285">
        <v>2025</v>
      </c>
      <c r="V285" s="90">
        <v>45689</v>
      </c>
      <c r="W285" s="87">
        <v>119635.2</v>
      </c>
      <c r="X285" s="87">
        <v>123402.24000000001</v>
      </c>
      <c r="Y285" s="87">
        <v>-3767.0400000000054</v>
      </c>
    </row>
    <row r="286" spans="1:25">
      <c r="A286" t="s">
        <v>412</v>
      </c>
      <c r="B286" t="s">
        <v>111</v>
      </c>
      <c r="C286" t="s">
        <v>112</v>
      </c>
      <c r="D286" t="s">
        <v>113</v>
      </c>
      <c r="E286" t="s">
        <v>84</v>
      </c>
      <c r="F286" t="s">
        <v>121</v>
      </c>
      <c r="G286" t="s">
        <v>122</v>
      </c>
      <c r="H286" s="1">
        <v>45700</v>
      </c>
      <c r="I286" s="1">
        <v>45703</v>
      </c>
      <c r="J286" s="86">
        <v>18725708.824999999</v>
      </c>
      <c r="K286" s="88">
        <v>9.69E-2</v>
      </c>
      <c r="L286" s="88">
        <v>0.1133</v>
      </c>
      <c r="M286" s="1">
        <v>45773</v>
      </c>
      <c r="N286" s="1">
        <v>45772</v>
      </c>
      <c r="O286" s="86">
        <v>18725708.824999999</v>
      </c>
      <c r="P286" t="s">
        <v>32</v>
      </c>
      <c r="Q286">
        <v>1</v>
      </c>
      <c r="R286">
        <v>1</v>
      </c>
      <c r="S286">
        <v>1</v>
      </c>
      <c r="T286" s="89">
        <v>69</v>
      </c>
      <c r="U286">
        <v>2025</v>
      </c>
      <c r="V286" s="90">
        <v>45689</v>
      </c>
      <c r="W286" s="87">
        <v>1814521.1851424999</v>
      </c>
      <c r="X286" s="87">
        <v>2121622.8098724997</v>
      </c>
      <c r="Y286" s="87">
        <v>-307101.62472999992</v>
      </c>
    </row>
    <row r="287" spans="1:25">
      <c r="A287" t="s">
        <v>413</v>
      </c>
      <c r="B287" t="s">
        <v>117</v>
      </c>
      <c r="C287" t="s">
        <v>118</v>
      </c>
      <c r="D287" t="s">
        <v>119</v>
      </c>
      <c r="E287" t="s">
        <v>120</v>
      </c>
      <c r="F287" t="s">
        <v>121</v>
      </c>
      <c r="G287" t="s">
        <v>122</v>
      </c>
      <c r="H287" s="1">
        <v>45699</v>
      </c>
      <c r="I287" s="1">
        <v>45702</v>
      </c>
      <c r="J287" s="86">
        <v>11235425.295</v>
      </c>
      <c r="K287" s="88">
        <v>4.0000000000000001E-3</v>
      </c>
      <c r="L287" s="88">
        <v>4.1000000000000003E-3</v>
      </c>
      <c r="M287" s="1">
        <v>45737</v>
      </c>
      <c r="N287" s="1">
        <v>45735</v>
      </c>
      <c r="O287" s="86">
        <v>11235425.295</v>
      </c>
      <c r="P287" t="s">
        <v>32</v>
      </c>
      <c r="Q287">
        <v>1</v>
      </c>
      <c r="R287">
        <v>1</v>
      </c>
      <c r="S287">
        <v>1</v>
      </c>
      <c r="T287" s="89">
        <v>33</v>
      </c>
      <c r="U287">
        <v>2025</v>
      </c>
      <c r="V287" s="90">
        <v>45689</v>
      </c>
      <c r="W287" s="87">
        <v>44941.701180000004</v>
      </c>
      <c r="X287" s="87">
        <v>46065.243709500006</v>
      </c>
      <c r="Y287" s="87">
        <v>-1123.542529500003</v>
      </c>
    </row>
    <row r="288" spans="1:25">
      <c r="A288" t="s">
        <v>414</v>
      </c>
      <c r="B288" t="s">
        <v>124</v>
      </c>
      <c r="C288" t="s">
        <v>125</v>
      </c>
      <c r="D288" t="s">
        <v>119</v>
      </c>
      <c r="E288" t="s">
        <v>126</v>
      </c>
      <c r="F288" t="s">
        <v>121</v>
      </c>
      <c r="G288" t="s">
        <v>122</v>
      </c>
      <c r="H288" s="1">
        <v>45698</v>
      </c>
      <c r="I288" s="1">
        <v>45700</v>
      </c>
      <c r="J288" s="86">
        <v>6553998.0889999997</v>
      </c>
      <c r="K288" s="88">
        <v>2.0400000000000001E-2</v>
      </c>
      <c r="L288" s="88">
        <v>2.06E-2</v>
      </c>
      <c r="M288" s="1">
        <v>45735</v>
      </c>
      <c r="N288" s="1">
        <v>45733</v>
      </c>
      <c r="O288" s="86">
        <v>6553998.0889999997</v>
      </c>
      <c r="P288" t="s">
        <v>32</v>
      </c>
      <c r="Q288">
        <v>1</v>
      </c>
      <c r="R288">
        <v>1</v>
      </c>
      <c r="S288">
        <v>1</v>
      </c>
      <c r="T288" s="89">
        <v>33</v>
      </c>
      <c r="U288">
        <v>2025</v>
      </c>
      <c r="V288" s="90">
        <v>45689</v>
      </c>
      <c r="W288" s="87">
        <v>133701.56101559999</v>
      </c>
      <c r="X288" s="87">
        <v>135012.36063340001</v>
      </c>
      <c r="Y288" s="87">
        <v>-1310.7996177999919</v>
      </c>
    </row>
    <row r="289" spans="1:25">
      <c r="A289" t="s">
        <v>415</v>
      </c>
      <c r="B289" t="s">
        <v>140</v>
      </c>
      <c r="C289" t="s">
        <v>141</v>
      </c>
      <c r="D289" t="s">
        <v>142</v>
      </c>
      <c r="E289" t="s">
        <v>84</v>
      </c>
      <c r="F289" t="s">
        <v>143</v>
      </c>
      <c r="G289" t="s">
        <v>144</v>
      </c>
      <c r="H289" s="1">
        <v>45700</v>
      </c>
      <c r="I289" s="1">
        <v>45704</v>
      </c>
      <c r="J289" s="86">
        <v>18776952.888</v>
      </c>
      <c r="K289" s="88">
        <v>1.2E-2</v>
      </c>
      <c r="L289" s="88">
        <v>1.24E-2</v>
      </c>
      <c r="M289" s="1">
        <v>45718</v>
      </c>
      <c r="N289" s="1">
        <v>45717</v>
      </c>
      <c r="O289" s="86">
        <v>18776952.888</v>
      </c>
      <c r="P289" t="s">
        <v>32</v>
      </c>
      <c r="Q289">
        <v>1</v>
      </c>
      <c r="R289">
        <v>1</v>
      </c>
      <c r="S289">
        <v>1</v>
      </c>
      <c r="T289" s="89">
        <v>13</v>
      </c>
      <c r="U289">
        <v>2025</v>
      </c>
      <c r="V289" s="90">
        <v>45689</v>
      </c>
      <c r="W289" s="87">
        <v>225323.434656</v>
      </c>
      <c r="X289" s="87">
        <v>232834.2158112</v>
      </c>
      <c r="Y289" s="87">
        <v>-7510.7811551999876</v>
      </c>
    </row>
    <row r="290" spans="1:25">
      <c r="A290" t="s">
        <v>416</v>
      </c>
      <c r="B290" t="s">
        <v>54</v>
      </c>
      <c r="C290" t="s">
        <v>55</v>
      </c>
      <c r="D290" t="s">
        <v>49</v>
      </c>
      <c r="E290" t="s">
        <v>56</v>
      </c>
      <c r="F290" t="s">
        <v>65</v>
      </c>
      <c r="G290" t="s">
        <v>66</v>
      </c>
      <c r="H290" s="1">
        <v>45706</v>
      </c>
      <c r="I290" s="1">
        <v>45710</v>
      </c>
      <c r="J290" s="86">
        <v>17280</v>
      </c>
      <c r="K290" s="88">
        <v>26.76</v>
      </c>
      <c r="L290" s="88">
        <v>28.84</v>
      </c>
      <c r="M290" s="1">
        <v>45752</v>
      </c>
      <c r="N290" s="1">
        <v>45750</v>
      </c>
      <c r="O290" s="86">
        <v>17280</v>
      </c>
      <c r="P290" t="s">
        <v>32</v>
      </c>
      <c r="Q290">
        <v>1</v>
      </c>
      <c r="R290">
        <v>1</v>
      </c>
      <c r="S290">
        <v>1</v>
      </c>
      <c r="T290" s="89">
        <v>40</v>
      </c>
      <c r="U290">
        <v>2025</v>
      </c>
      <c r="V290" s="90">
        <v>45689</v>
      </c>
      <c r="W290" s="87">
        <v>462412.80000000005</v>
      </c>
      <c r="X290" s="87">
        <v>498355.20000000001</v>
      </c>
      <c r="Y290" s="87">
        <v>-35942.399999999972</v>
      </c>
    </row>
    <row r="291" spans="1:25">
      <c r="A291" t="s">
        <v>417</v>
      </c>
      <c r="B291" t="s">
        <v>60</v>
      </c>
      <c r="C291" t="s">
        <v>61</v>
      </c>
      <c r="D291" t="s">
        <v>49</v>
      </c>
      <c r="E291" t="s">
        <v>56</v>
      </c>
      <c r="F291" t="s">
        <v>57</v>
      </c>
      <c r="G291" t="s">
        <v>58</v>
      </c>
      <c r="H291" s="1">
        <v>45706</v>
      </c>
      <c r="I291" s="1">
        <v>45707</v>
      </c>
      <c r="J291" s="86">
        <v>1536</v>
      </c>
      <c r="K291" s="88">
        <v>415.03</v>
      </c>
      <c r="L291" s="88">
        <v>434.97</v>
      </c>
      <c r="M291" s="1">
        <v>45749</v>
      </c>
      <c r="N291" s="1">
        <v>45747</v>
      </c>
      <c r="O291" s="86">
        <v>1474.232</v>
      </c>
      <c r="P291" t="s">
        <v>32</v>
      </c>
      <c r="Q291">
        <v>1</v>
      </c>
      <c r="R291">
        <v>0</v>
      </c>
      <c r="S291">
        <v>0</v>
      </c>
      <c r="T291" s="89">
        <v>40</v>
      </c>
      <c r="U291">
        <v>2025</v>
      </c>
      <c r="V291" s="90">
        <v>45689</v>
      </c>
      <c r="W291" s="87">
        <v>611850.50695999991</v>
      </c>
      <c r="X291" s="87">
        <v>641246.69304000004</v>
      </c>
      <c r="Y291" s="87">
        <v>-29396.18608000008</v>
      </c>
    </row>
    <row r="292" spans="1:25">
      <c r="A292" t="s">
        <v>418</v>
      </c>
      <c r="B292" t="s">
        <v>63</v>
      </c>
      <c r="C292" t="s">
        <v>64</v>
      </c>
      <c r="D292" t="s">
        <v>49</v>
      </c>
      <c r="E292" t="s">
        <v>56</v>
      </c>
      <c r="F292" t="s">
        <v>65</v>
      </c>
      <c r="G292" t="s">
        <v>66</v>
      </c>
      <c r="H292" s="1">
        <v>45713</v>
      </c>
      <c r="I292" s="1">
        <v>45714</v>
      </c>
      <c r="J292" s="86">
        <v>2304.223</v>
      </c>
      <c r="K292" s="88">
        <v>161.99</v>
      </c>
      <c r="L292" s="88">
        <v>164.8</v>
      </c>
      <c r="M292" s="1">
        <v>45742</v>
      </c>
      <c r="N292" s="1">
        <v>45740</v>
      </c>
      <c r="O292" s="86">
        <v>2304.223</v>
      </c>
      <c r="P292" t="s">
        <v>32</v>
      </c>
      <c r="Q292">
        <v>1</v>
      </c>
      <c r="R292">
        <v>1</v>
      </c>
      <c r="S292">
        <v>1</v>
      </c>
      <c r="T292" s="89">
        <v>26</v>
      </c>
      <c r="U292">
        <v>2025</v>
      </c>
      <c r="V292" s="90">
        <v>45689</v>
      </c>
      <c r="W292" s="87">
        <v>373261.08377000003</v>
      </c>
      <c r="X292" s="87">
        <v>379735.95040000003</v>
      </c>
      <c r="Y292" s="87">
        <v>-6474.866630000005</v>
      </c>
    </row>
    <row r="293" spans="1:25">
      <c r="A293" t="s">
        <v>419</v>
      </c>
      <c r="B293" t="s">
        <v>68</v>
      </c>
      <c r="C293" t="s">
        <v>69</v>
      </c>
      <c r="D293" t="s">
        <v>43</v>
      </c>
      <c r="E293" t="s">
        <v>37</v>
      </c>
      <c r="F293" t="s">
        <v>70</v>
      </c>
      <c r="G293" t="s">
        <v>71</v>
      </c>
      <c r="H293" s="1">
        <v>45713</v>
      </c>
      <c r="I293" s="1">
        <v>45716</v>
      </c>
      <c r="J293" s="86">
        <v>115207.327</v>
      </c>
      <c r="K293" s="88">
        <v>4.0999999999999996</v>
      </c>
      <c r="L293" s="88">
        <v>4.17</v>
      </c>
      <c r="M293" s="1">
        <v>45737</v>
      </c>
      <c r="N293" s="1">
        <v>45735</v>
      </c>
      <c r="O293" s="86">
        <v>115207.327</v>
      </c>
      <c r="P293" t="s">
        <v>32</v>
      </c>
      <c r="Q293">
        <v>1</v>
      </c>
      <c r="R293">
        <v>1</v>
      </c>
      <c r="S293">
        <v>1</v>
      </c>
      <c r="T293" s="89">
        <v>19</v>
      </c>
      <c r="U293">
        <v>2025</v>
      </c>
      <c r="V293" s="90">
        <v>45689</v>
      </c>
      <c r="W293" s="87">
        <v>472350.04069999995</v>
      </c>
      <c r="X293" s="87">
        <v>480414.55359000002</v>
      </c>
      <c r="Y293" s="87">
        <v>-8064.5128900000327</v>
      </c>
    </row>
    <row r="294" spans="1:25">
      <c r="A294" t="s">
        <v>420</v>
      </c>
      <c r="B294" t="s">
        <v>98</v>
      </c>
      <c r="C294" t="s">
        <v>99</v>
      </c>
      <c r="D294" t="s">
        <v>100</v>
      </c>
      <c r="E294" t="s">
        <v>101</v>
      </c>
      <c r="F294" t="s">
        <v>102</v>
      </c>
      <c r="G294" t="s">
        <v>103</v>
      </c>
      <c r="H294" s="1">
        <v>45713</v>
      </c>
      <c r="I294" s="1">
        <v>45716</v>
      </c>
      <c r="J294" s="86">
        <v>15.36</v>
      </c>
      <c r="K294" s="88">
        <v>6165.4</v>
      </c>
      <c r="L294" s="88">
        <v>6386</v>
      </c>
      <c r="M294" s="1">
        <v>45765</v>
      </c>
      <c r="N294" s="1">
        <v>45762</v>
      </c>
      <c r="O294" s="86">
        <v>14.727</v>
      </c>
      <c r="P294" t="s">
        <v>32</v>
      </c>
      <c r="Q294">
        <v>1</v>
      </c>
      <c r="R294">
        <v>0</v>
      </c>
      <c r="S294">
        <v>0</v>
      </c>
      <c r="T294" s="89">
        <v>46</v>
      </c>
      <c r="U294">
        <v>2025</v>
      </c>
      <c r="V294" s="90">
        <v>45689</v>
      </c>
      <c r="W294" s="87">
        <v>90797.845799999996</v>
      </c>
      <c r="X294" s="87">
        <v>94046.622000000003</v>
      </c>
      <c r="Y294" s="87">
        <v>-3248.7762000000052</v>
      </c>
    </row>
    <row r="295" spans="1:25">
      <c r="A295" t="s">
        <v>421</v>
      </c>
      <c r="B295" t="s">
        <v>105</v>
      </c>
      <c r="C295" t="s">
        <v>106</v>
      </c>
      <c r="D295" t="s">
        <v>107</v>
      </c>
      <c r="E295" t="s">
        <v>101</v>
      </c>
      <c r="F295" t="s">
        <v>108</v>
      </c>
      <c r="G295" t="s">
        <v>109</v>
      </c>
      <c r="H295" s="1">
        <v>45713</v>
      </c>
      <c r="I295" s="1">
        <v>45716</v>
      </c>
      <c r="J295" s="86">
        <v>2.3660000000000001</v>
      </c>
      <c r="K295" s="88">
        <v>53781.57</v>
      </c>
      <c r="L295" s="88">
        <v>49440</v>
      </c>
      <c r="M295" s="1">
        <v>45758</v>
      </c>
      <c r="N295" s="1">
        <v>45829</v>
      </c>
      <c r="O295" s="86">
        <v>2.3660000000000001</v>
      </c>
      <c r="P295" t="s">
        <v>213</v>
      </c>
      <c r="Q295">
        <v>0</v>
      </c>
      <c r="R295">
        <v>1</v>
      </c>
      <c r="S295">
        <v>0</v>
      </c>
      <c r="T295" s="89">
        <v>113</v>
      </c>
      <c r="U295">
        <v>2025</v>
      </c>
      <c r="V295" s="90">
        <v>45689</v>
      </c>
      <c r="W295" s="87">
        <v>127247.19462000001</v>
      </c>
      <c r="X295" s="87">
        <v>116975.04000000001</v>
      </c>
      <c r="Y295" s="87">
        <v>10272.154619999999</v>
      </c>
    </row>
    <row r="296" spans="1:25">
      <c r="A296" t="s">
        <v>422</v>
      </c>
      <c r="B296" t="s">
        <v>128</v>
      </c>
      <c r="C296" t="s">
        <v>129</v>
      </c>
      <c r="D296" t="s">
        <v>130</v>
      </c>
      <c r="E296" t="s">
        <v>84</v>
      </c>
      <c r="F296" t="s">
        <v>131</v>
      </c>
      <c r="G296" t="s">
        <v>132</v>
      </c>
      <c r="H296" s="1">
        <v>45713</v>
      </c>
      <c r="I296" s="1">
        <v>45716</v>
      </c>
      <c r="J296" s="86">
        <v>1.623</v>
      </c>
      <c r="K296" s="88">
        <v>65726.759999999995</v>
      </c>
      <c r="L296" s="88">
        <v>66950</v>
      </c>
      <c r="M296" s="1">
        <v>45786</v>
      </c>
      <c r="N296" s="1">
        <v>45785</v>
      </c>
      <c r="O296" s="86">
        <v>1.623</v>
      </c>
      <c r="P296" t="s">
        <v>32</v>
      </c>
      <c r="Q296">
        <v>1</v>
      </c>
      <c r="R296">
        <v>1</v>
      </c>
      <c r="S296">
        <v>1</v>
      </c>
      <c r="T296" s="89">
        <v>69</v>
      </c>
      <c r="U296">
        <v>2025</v>
      </c>
      <c r="V296" s="90">
        <v>45689</v>
      </c>
      <c r="W296" s="87">
        <v>106674.53147999999</v>
      </c>
      <c r="X296" s="87">
        <v>108659.85</v>
      </c>
      <c r="Y296" s="87">
        <v>-1985.3185200000084</v>
      </c>
    </row>
    <row r="297" spans="1:25">
      <c r="A297" t="s">
        <v>423</v>
      </c>
      <c r="B297" t="s">
        <v>26</v>
      </c>
      <c r="C297" t="s">
        <v>27</v>
      </c>
      <c r="D297" t="s">
        <v>28</v>
      </c>
      <c r="E297" t="s">
        <v>29</v>
      </c>
      <c r="F297" t="s">
        <v>149</v>
      </c>
      <c r="G297" t="s">
        <v>150</v>
      </c>
      <c r="H297" s="1">
        <v>45720</v>
      </c>
      <c r="I297" s="1">
        <v>45721</v>
      </c>
      <c r="J297" s="86">
        <v>19200</v>
      </c>
      <c r="K297" s="88">
        <v>103.99</v>
      </c>
      <c r="L297" s="88">
        <v>107.13</v>
      </c>
      <c r="M297" s="1">
        <v>45763</v>
      </c>
      <c r="N297" s="1">
        <v>45763</v>
      </c>
      <c r="O297" s="86">
        <v>19200</v>
      </c>
      <c r="P297" t="s">
        <v>32</v>
      </c>
      <c r="Q297">
        <v>1</v>
      </c>
      <c r="R297">
        <v>1</v>
      </c>
      <c r="S297">
        <v>1</v>
      </c>
      <c r="T297" s="89">
        <v>42</v>
      </c>
      <c r="U297">
        <v>2025</v>
      </c>
      <c r="V297" s="90">
        <v>45717</v>
      </c>
      <c r="W297" s="87">
        <v>1996608</v>
      </c>
      <c r="X297" s="87">
        <v>2056896</v>
      </c>
      <c r="Y297" s="87">
        <v>-60288.000000000015</v>
      </c>
    </row>
    <row r="298" spans="1:25">
      <c r="A298" t="s">
        <v>424</v>
      </c>
      <c r="B298" t="s">
        <v>76</v>
      </c>
      <c r="C298" t="s">
        <v>77</v>
      </c>
      <c r="D298" t="s">
        <v>78</v>
      </c>
      <c r="E298" t="s">
        <v>37</v>
      </c>
      <c r="F298" t="s">
        <v>44</v>
      </c>
      <c r="G298" t="s">
        <v>45</v>
      </c>
      <c r="H298" s="1">
        <v>45719</v>
      </c>
      <c r="I298" s="1">
        <v>45720</v>
      </c>
      <c r="J298" s="86">
        <v>11529.948</v>
      </c>
      <c r="K298" s="88">
        <v>36.85</v>
      </c>
      <c r="L298" s="88">
        <v>39.14</v>
      </c>
      <c r="M298" s="1">
        <v>45755</v>
      </c>
      <c r="N298" s="1">
        <v>45755</v>
      </c>
      <c r="O298" s="86">
        <v>11529.948</v>
      </c>
      <c r="P298" t="s">
        <v>32</v>
      </c>
      <c r="Q298">
        <v>1</v>
      </c>
      <c r="R298">
        <v>1</v>
      </c>
      <c r="S298">
        <v>1</v>
      </c>
      <c r="T298" s="89">
        <v>35</v>
      </c>
      <c r="U298">
        <v>2025</v>
      </c>
      <c r="V298" s="90">
        <v>45717</v>
      </c>
      <c r="W298" s="87">
        <v>424878.58380000002</v>
      </c>
      <c r="X298" s="87">
        <v>451282.16472</v>
      </c>
      <c r="Y298" s="87">
        <v>-26403.580919999989</v>
      </c>
    </row>
    <row r="299" spans="1:25">
      <c r="A299" t="s">
        <v>425</v>
      </c>
      <c r="B299" t="s">
        <v>92</v>
      </c>
      <c r="C299" t="s">
        <v>93</v>
      </c>
      <c r="D299" t="s">
        <v>94</v>
      </c>
      <c r="E299" t="s">
        <v>56</v>
      </c>
      <c r="F299" t="s">
        <v>95</v>
      </c>
      <c r="G299" t="s">
        <v>96</v>
      </c>
      <c r="H299" s="1">
        <v>45720</v>
      </c>
      <c r="I299" s="1">
        <v>45721</v>
      </c>
      <c r="J299" s="86">
        <v>76.8</v>
      </c>
      <c r="K299" s="88">
        <v>4010.5</v>
      </c>
      <c r="L299" s="88">
        <v>4017</v>
      </c>
      <c r="M299" s="1">
        <v>45791</v>
      </c>
      <c r="N299" s="1">
        <v>45791</v>
      </c>
      <c r="O299" s="86">
        <v>76.8</v>
      </c>
      <c r="P299" t="s">
        <v>32</v>
      </c>
      <c r="Q299">
        <v>1</v>
      </c>
      <c r="R299">
        <v>1</v>
      </c>
      <c r="S299">
        <v>1</v>
      </c>
      <c r="T299" s="89">
        <v>70</v>
      </c>
      <c r="U299">
        <v>2025</v>
      </c>
      <c r="V299" s="90">
        <v>45717</v>
      </c>
      <c r="W299" s="87">
        <v>308006.39999999997</v>
      </c>
      <c r="X299" s="87">
        <v>308505.59999999998</v>
      </c>
      <c r="Y299" s="87">
        <v>-499.2</v>
      </c>
    </row>
    <row r="300" spans="1:25">
      <c r="A300" t="s">
        <v>426</v>
      </c>
      <c r="B300" t="s">
        <v>134</v>
      </c>
      <c r="C300" t="s">
        <v>135</v>
      </c>
      <c r="D300" t="s">
        <v>136</v>
      </c>
      <c r="E300" t="s">
        <v>101</v>
      </c>
      <c r="F300" t="s">
        <v>137</v>
      </c>
      <c r="G300" t="s">
        <v>138</v>
      </c>
      <c r="H300" s="1">
        <v>45720</v>
      </c>
      <c r="I300" s="1">
        <v>45722</v>
      </c>
      <c r="J300" s="86">
        <v>59907.845000000001</v>
      </c>
      <c r="K300" s="88">
        <v>6.34</v>
      </c>
      <c r="L300" s="88">
        <v>6.7</v>
      </c>
      <c r="M300" s="1">
        <v>45778</v>
      </c>
      <c r="N300" s="1">
        <v>45778</v>
      </c>
      <c r="O300" s="86">
        <v>59907.845000000001</v>
      </c>
      <c r="P300" t="s">
        <v>32</v>
      </c>
      <c r="Q300">
        <v>1</v>
      </c>
      <c r="R300">
        <v>1</v>
      </c>
      <c r="S300">
        <v>1</v>
      </c>
      <c r="T300" s="89">
        <v>56</v>
      </c>
      <c r="U300">
        <v>2025</v>
      </c>
      <c r="V300" s="90">
        <v>45717</v>
      </c>
      <c r="W300" s="87">
        <v>379815.73729999998</v>
      </c>
      <c r="X300" s="87">
        <v>401382.56150000001</v>
      </c>
      <c r="Y300" s="87">
        <v>-21566.824200000021</v>
      </c>
    </row>
    <row r="301" spans="1:25">
      <c r="A301" t="s">
        <v>427</v>
      </c>
      <c r="B301" t="s">
        <v>41</v>
      </c>
      <c r="C301" t="s">
        <v>42</v>
      </c>
      <c r="D301" t="s">
        <v>43</v>
      </c>
      <c r="E301" t="s">
        <v>37</v>
      </c>
      <c r="F301" t="s">
        <v>44</v>
      </c>
      <c r="G301" t="s">
        <v>45</v>
      </c>
      <c r="H301" s="1">
        <v>45727</v>
      </c>
      <c r="I301" s="1">
        <v>45728</v>
      </c>
      <c r="J301" s="86">
        <v>34562.99</v>
      </c>
      <c r="K301" s="88">
        <v>9.5</v>
      </c>
      <c r="L301" s="88">
        <v>9.7799999999999994</v>
      </c>
      <c r="M301" s="1">
        <v>45749</v>
      </c>
      <c r="N301" s="1">
        <v>45746</v>
      </c>
      <c r="O301" s="86">
        <v>34562.99</v>
      </c>
      <c r="P301" t="s">
        <v>32</v>
      </c>
      <c r="Q301">
        <v>1</v>
      </c>
      <c r="R301">
        <v>1</v>
      </c>
      <c r="S301">
        <v>1</v>
      </c>
      <c r="T301" s="89">
        <v>18</v>
      </c>
      <c r="U301">
        <v>2025</v>
      </c>
      <c r="V301" s="90">
        <v>45717</v>
      </c>
      <c r="W301" s="87">
        <v>328348.40499999997</v>
      </c>
      <c r="X301" s="87">
        <v>338026.04219999997</v>
      </c>
      <c r="Y301" s="87">
        <v>-9677.6371999999774</v>
      </c>
    </row>
    <row r="302" spans="1:25">
      <c r="A302" t="s">
        <v>428</v>
      </c>
      <c r="B302" t="s">
        <v>47</v>
      </c>
      <c r="C302" t="s">
        <v>48</v>
      </c>
      <c r="D302" t="s">
        <v>49</v>
      </c>
      <c r="E302" t="s">
        <v>50</v>
      </c>
      <c r="F302" t="s">
        <v>51</v>
      </c>
      <c r="G302" t="s">
        <v>52</v>
      </c>
      <c r="H302" s="1">
        <v>45727</v>
      </c>
      <c r="I302" s="1">
        <v>45728</v>
      </c>
      <c r="J302" s="86">
        <v>115.265</v>
      </c>
      <c r="K302" s="88">
        <v>1863.44</v>
      </c>
      <c r="L302" s="88">
        <v>1905.5</v>
      </c>
      <c r="M302" s="1">
        <v>45784</v>
      </c>
      <c r="N302" s="1">
        <v>45781</v>
      </c>
      <c r="O302" s="86">
        <v>115.265</v>
      </c>
      <c r="P302" t="s">
        <v>32</v>
      </c>
      <c r="Q302">
        <v>1</v>
      </c>
      <c r="R302">
        <v>1</v>
      </c>
      <c r="S302">
        <v>1</v>
      </c>
      <c r="T302" s="89">
        <v>53</v>
      </c>
      <c r="U302">
        <v>2025</v>
      </c>
      <c r="V302" s="90">
        <v>45717</v>
      </c>
      <c r="W302" s="87">
        <v>214789.41160000002</v>
      </c>
      <c r="X302" s="87">
        <v>219637.45749999999</v>
      </c>
      <c r="Y302" s="87">
        <v>-4848.0458999999937</v>
      </c>
    </row>
    <row r="303" spans="1:25">
      <c r="A303" t="s">
        <v>429</v>
      </c>
      <c r="B303" t="s">
        <v>73</v>
      </c>
      <c r="C303" t="s">
        <v>74</v>
      </c>
      <c r="D303" t="s">
        <v>43</v>
      </c>
      <c r="E303" t="s">
        <v>37</v>
      </c>
      <c r="F303" t="s">
        <v>70</v>
      </c>
      <c r="G303" t="s">
        <v>71</v>
      </c>
      <c r="H303" s="1">
        <v>45728</v>
      </c>
      <c r="I303" s="1">
        <v>45730</v>
      </c>
      <c r="J303" s="86">
        <v>59576.639999999999</v>
      </c>
      <c r="K303" s="88">
        <v>6.82</v>
      </c>
      <c r="L303" s="88">
        <v>7</v>
      </c>
      <c r="M303" s="1">
        <v>45751</v>
      </c>
      <c r="N303" s="1">
        <v>45754</v>
      </c>
      <c r="O303" s="86">
        <v>59576.639999999999</v>
      </c>
      <c r="P303" t="s">
        <v>32</v>
      </c>
      <c r="Q303">
        <v>0</v>
      </c>
      <c r="R303">
        <v>1</v>
      </c>
      <c r="S303">
        <v>0</v>
      </c>
      <c r="T303" s="89">
        <v>24</v>
      </c>
      <c r="U303">
        <v>2025</v>
      </c>
      <c r="V303" s="90">
        <v>45717</v>
      </c>
      <c r="W303" s="87">
        <v>406312.68479999999</v>
      </c>
      <c r="X303" s="87">
        <v>417036.48</v>
      </c>
      <c r="Y303" s="87">
        <v>-10723.795199999982</v>
      </c>
    </row>
    <row r="304" spans="1:25">
      <c r="A304" t="s">
        <v>430</v>
      </c>
      <c r="B304" t="s">
        <v>82</v>
      </c>
      <c r="C304" t="s">
        <v>83</v>
      </c>
      <c r="D304" t="s">
        <v>78</v>
      </c>
      <c r="E304" t="s">
        <v>84</v>
      </c>
      <c r="F304" t="s">
        <v>79</v>
      </c>
      <c r="G304" t="s">
        <v>80</v>
      </c>
      <c r="H304" s="1">
        <v>45727</v>
      </c>
      <c r="I304" s="1">
        <v>45731</v>
      </c>
      <c r="J304" s="86">
        <v>230.41800000000001</v>
      </c>
      <c r="K304" s="88">
        <v>517.4</v>
      </c>
      <c r="L304" s="88">
        <v>535.6</v>
      </c>
      <c r="M304" s="1">
        <v>45766</v>
      </c>
      <c r="N304" s="1">
        <v>45764</v>
      </c>
      <c r="O304" s="86">
        <v>230.41800000000001</v>
      </c>
      <c r="P304" t="s">
        <v>32</v>
      </c>
      <c r="Q304">
        <v>1</v>
      </c>
      <c r="R304">
        <v>1</v>
      </c>
      <c r="S304">
        <v>1</v>
      </c>
      <c r="T304" s="89">
        <v>33</v>
      </c>
      <c r="U304">
        <v>2025</v>
      </c>
      <c r="V304" s="90">
        <v>45717</v>
      </c>
      <c r="W304" s="87">
        <v>119218.2732</v>
      </c>
      <c r="X304" s="87">
        <v>123411.88080000001</v>
      </c>
      <c r="Y304" s="87">
        <v>-4193.6076000000103</v>
      </c>
    </row>
    <row r="305" spans="1:25">
      <c r="A305" t="s">
        <v>431</v>
      </c>
      <c r="B305" t="s">
        <v>86</v>
      </c>
      <c r="C305" t="s">
        <v>87</v>
      </c>
      <c r="D305" t="s">
        <v>88</v>
      </c>
      <c r="E305" t="s">
        <v>84</v>
      </c>
      <c r="F305" t="s">
        <v>89</v>
      </c>
      <c r="G305" t="s">
        <v>90</v>
      </c>
      <c r="H305" s="1">
        <v>45727</v>
      </c>
      <c r="I305" s="1">
        <v>45728</v>
      </c>
      <c r="J305" s="86">
        <v>14.4</v>
      </c>
      <c r="K305" s="88">
        <v>9633.66</v>
      </c>
      <c r="L305" s="88">
        <v>9980.7000000000007</v>
      </c>
      <c r="M305" s="1">
        <v>45791</v>
      </c>
      <c r="N305" s="1">
        <v>45789</v>
      </c>
      <c r="O305" s="86">
        <v>14.4</v>
      </c>
      <c r="P305" t="s">
        <v>32</v>
      </c>
      <c r="Q305">
        <v>1</v>
      </c>
      <c r="R305">
        <v>1</v>
      </c>
      <c r="S305">
        <v>1</v>
      </c>
      <c r="T305" s="89">
        <v>61</v>
      </c>
      <c r="U305">
        <v>2025</v>
      </c>
      <c r="V305" s="90">
        <v>45717</v>
      </c>
      <c r="W305" s="87">
        <v>138724.704</v>
      </c>
      <c r="X305" s="87">
        <v>143722.08000000002</v>
      </c>
      <c r="Y305" s="87">
        <v>-4997.3760000000129</v>
      </c>
    </row>
    <row r="306" spans="1:25">
      <c r="A306" t="s">
        <v>432</v>
      </c>
      <c r="B306" t="s">
        <v>111</v>
      </c>
      <c r="C306" t="s">
        <v>112</v>
      </c>
      <c r="D306" t="s">
        <v>113</v>
      </c>
      <c r="E306" t="s">
        <v>84</v>
      </c>
      <c r="F306" t="s">
        <v>121</v>
      </c>
      <c r="G306" t="s">
        <v>122</v>
      </c>
      <c r="H306" s="1">
        <v>45728</v>
      </c>
      <c r="I306" s="1">
        <v>45730</v>
      </c>
      <c r="J306" s="86">
        <v>18769983.263999999</v>
      </c>
      <c r="K306" s="88">
        <v>9.6699999999999994E-2</v>
      </c>
      <c r="L306" s="88">
        <v>0.1133</v>
      </c>
      <c r="M306" s="1">
        <v>45800</v>
      </c>
      <c r="N306" s="1">
        <v>45797</v>
      </c>
      <c r="O306" s="86">
        <v>18769983.263999999</v>
      </c>
      <c r="P306" t="s">
        <v>32</v>
      </c>
      <c r="Q306">
        <v>1</v>
      </c>
      <c r="R306">
        <v>1</v>
      </c>
      <c r="S306">
        <v>1</v>
      </c>
      <c r="T306" s="89">
        <v>67</v>
      </c>
      <c r="U306">
        <v>2025</v>
      </c>
      <c r="V306" s="90">
        <v>45717</v>
      </c>
      <c r="W306" s="87">
        <v>1815057.3816287997</v>
      </c>
      <c r="X306" s="87">
        <v>2126639.1038111998</v>
      </c>
      <c r="Y306" s="87">
        <v>-311581.72218240006</v>
      </c>
    </row>
    <row r="307" spans="1:25">
      <c r="A307" t="s">
        <v>433</v>
      </c>
      <c r="B307" t="s">
        <v>128</v>
      </c>
      <c r="C307" t="s">
        <v>129</v>
      </c>
      <c r="D307" t="s">
        <v>130</v>
      </c>
      <c r="E307" t="s">
        <v>84</v>
      </c>
      <c r="F307" t="s">
        <v>131</v>
      </c>
      <c r="G307" t="s">
        <v>132</v>
      </c>
      <c r="H307" s="1">
        <v>45727</v>
      </c>
      <c r="I307" s="1">
        <v>45732</v>
      </c>
      <c r="J307" s="86">
        <v>1</v>
      </c>
      <c r="K307" s="88">
        <v>66347.34</v>
      </c>
      <c r="L307" s="88">
        <v>66950</v>
      </c>
      <c r="M307" s="1">
        <v>45802</v>
      </c>
      <c r="N307" s="1">
        <v>45802</v>
      </c>
      <c r="O307" s="86">
        <v>1</v>
      </c>
      <c r="P307" t="s">
        <v>32</v>
      </c>
      <c r="Q307">
        <v>1</v>
      </c>
      <c r="R307">
        <v>1</v>
      </c>
      <c r="S307">
        <v>1</v>
      </c>
      <c r="T307" s="89">
        <v>70</v>
      </c>
      <c r="U307">
        <v>2025</v>
      </c>
      <c r="V307" s="90">
        <v>45717</v>
      </c>
      <c r="W307" s="87">
        <v>66347.34</v>
      </c>
      <c r="X307" s="87">
        <v>66950</v>
      </c>
      <c r="Y307" s="87">
        <v>-602.66000000000349</v>
      </c>
    </row>
    <row r="308" spans="1:25">
      <c r="A308" t="s">
        <v>434</v>
      </c>
      <c r="B308" t="s">
        <v>54</v>
      </c>
      <c r="C308" t="s">
        <v>55</v>
      </c>
      <c r="D308" t="s">
        <v>49</v>
      </c>
      <c r="E308" t="s">
        <v>56</v>
      </c>
      <c r="F308" t="s">
        <v>65</v>
      </c>
      <c r="G308" t="s">
        <v>66</v>
      </c>
      <c r="H308" s="1">
        <v>45733</v>
      </c>
      <c r="I308" s="1">
        <v>45735</v>
      </c>
      <c r="J308" s="86">
        <v>17280.357</v>
      </c>
      <c r="K308" s="88">
        <v>26.43</v>
      </c>
      <c r="L308" s="88">
        <v>28.84</v>
      </c>
      <c r="M308" s="1">
        <v>45777</v>
      </c>
      <c r="N308" s="1">
        <v>45774</v>
      </c>
      <c r="O308" s="86">
        <v>17280.357</v>
      </c>
      <c r="P308" t="s">
        <v>32</v>
      </c>
      <c r="Q308">
        <v>1</v>
      </c>
      <c r="R308">
        <v>1</v>
      </c>
      <c r="S308">
        <v>1</v>
      </c>
      <c r="T308" s="89">
        <v>39</v>
      </c>
      <c r="U308">
        <v>2025</v>
      </c>
      <c r="V308" s="90">
        <v>45717</v>
      </c>
      <c r="W308" s="87">
        <v>456719.83551</v>
      </c>
      <c r="X308" s="87">
        <v>498365.49588</v>
      </c>
      <c r="Y308" s="87">
        <v>-41645.660370000005</v>
      </c>
    </row>
    <row r="309" spans="1:25">
      <c r="A309" t="s">
        <v>435</v>
      </c>
      <c r="B309" t="s">
        <v>60</v>
      </c>
      <c r="C309" t="s">
        <v>61</v>
      </c>
      <c r="D309" t="s">
        <v>49</v>
      </c>
      <c r="E309" t="s">
        <v>56</v>
      </c>
      <c r="F309" t="s">
        <v>57</v>
      </c>
      <c r="G309" t="s">
        <v>58</v>
      </c>
      <c r="H309" s="1">
        <v>45735</v>
      </c>
      <c r="I309" s="1">
        <v>45737</v>
      </c>
      <c r="J309" s="86">
        <v>1541.6210000000001</v>
      </c>
      <c r="K309" s="88">
        <v>417.89</v>
      </c>
      <c r="L309" s="88">
        <v>434.97</v>
      </c>
      <c r="M309" s="1">
        <v>45779</v>
      </c>
      <c r="N309" s="1">
        <v>45779</v>
      </c>
      <c r="O309" s="86">
        <v>1541.6210000000001</v>
      </c>
      <c r="P309" t="s">
        <v>32</v>
      </c>
      <c r="Q309">
        <v>1</v>
      </c>
      <c r="R309">
        <v>1</v>
      </c>
      <c r="S309">
        <v>1</v>
      </c>
      <c r="T309" s="89">
        <v>42</v>
      </c>
      <c r="U309">
        <v>2025</v>
      </c>
      <c r="V309" s="90">
        <v>45717</v>
      </c>
      <c r="W309" s="87">
        <v>644227.99968999997</v>
      </c>
      <c r="X309" s="87">
        <v>670558.88637000008</v>
      </c>
      <c r="Y309" s="87">
        <v>-26330.886680000065</v>
      </c>
    </row>
    <row r="310" spans="1:25">
      <c r="A310" t="s">
        <v>436</v>
      </c>
      <c r="B310" t="s">
        <v>117</v>
      </c>
      <c r="C310" t="s">
        <v>118</v>
      </c>
      <c r="D310" t="s">
        <v>119</v>
      </c>
      <c r="E310" t="s">
        <v>120</v>
      </c>
      <c r="F310" t="s">
        <v>137</v>
      </c>
      <c r="G310" t="s">
        <v>138</v>
      </c>
      <c r="H310" s="1">
        <v>45734</v>
      </c>
      <c r="I310" s="1">
        <v>45735</v>
      </c>
      <c r="J310" s="86">
        <v>13304760.812000001</v>
      </c>
      <c r="K310" s="88">
        <v>4.1000000000000003E-3</v>
      </c>
      <c r="L310" s="88">
        <v>4.1000000000000003E-3</v>
      </c>
      <c r="M310" s="1">
        <v>45770</v>
      </c>
      <c r="N310" s="1">
        <v>45767</v>
      </c>
      <c r="O310" s="86">
        <v>13304760.812000001</v>
      </c>
      <c r="P310" t="s">
        <v>32</v>
      </c>
      <c r="Q310">
        <v>1</v>
      </c>
      <c r="R310">
        <v>1</v>
      </c>
      <c r="S310">
        <v>1</v>
      </c>
      <c r="T310" s="89">
        <v>32</v>
      </c>
      <c r="U310">
        <v>2025</v>
      </c>
      <c r="V310" s="90">
        <v>45717</v>
      </c>
      <c r="W310" s="87">
        <v>54549.519329200011</v>
      </c>
      <c r="X310" s="87">
        <v>54549.519329200011</v>
      </c>
      <c r="Y310" s="87">
        <v>0</v>
      </c>
    </row>
    <row r="311" spans="1:25">
      <c r="A311" t="s">
        <v>437</v>
      </c>
      <c r="B311" t="s">
        <v>124</v>
      </c>
      <c r="C311" t="s">
        <v>125</v>
      </c>
      <c r="D311" t="s">
        <v>119</v>
      </c>
      <c r="E311" t="s">
        <v>126</v>
      </c>
      <c r="F311" t="s">
        <v>121</v>
      </c>
      <c r="G311" t="s">
        <v>122</v>
      </c>
      <c r="H311" s="1">
        <v>45735</v>
      </c>
      <c r="I311" s="1">
        <v>45736</v>
      </c>
      <c r="J311" s="86">
        <v>7762572.9100000001</v>
      </c>
      <c r="K311" s="88">
        <v>1.9900000000000001E-2</v>
      </c>
      <c r="L311" s="88">
        <v>2.06E-2</v>
      </c>
      <c r="M311" s="1">
        <v>45771</v>
      </c>
      <c r="N311" s="1">
        <v>45770</v>
      </c>
      <c r="O311" s="86">
        <v>7762572.9100000001</v>
      </c>
      <c r="P311" t="s">
        <v>32</v>
      </c>
      <c r="Q311">
        <v>1</v>
      </c>
      <c r="R311">
        <v>1</v>
      </c>
      <c r="S311">
        <v>1</v>
      </c>
      <c r="T311" s="89">
        <v>34</v>
      </c>
      <c r="U311">
        <v>2025</v>
      </c>
      <c r="V311" s="90">
        <v>45717</v>
      </c>
      <c r="W311" s="87">
        <v>154475.20090900001</v>
      </c>
      <c r="X311" s="87">
        <v>159909.001946</v>
      </c>
      <c r="Y311" s="87">
        <v>-5433.8010369999938</v>
      </c>
    </row>
    <row r="312" spans="1:25">
      <c r="A312" t="s">
        <v>438</v>
      </c>
      <c r="B312" t="s">
        <v>140</v>
      </c>
      <c r="C312" t="s">
        <v>141</v>
      </c>
      <c r="D312" t="s">
        <v>142</v>
      </c>
      <c r="E312" t="s">
        <v>84</v>
      </c>
      <c r="F312" t="s">
        <v>143</v>
      </c>
      <c r="G312" t="s">
        <v>144</v>
      </c>
      <c r="H312" s="1">
        <v>45735</v>
      </c>
      <c r="I312" s="1">
        <v>45740</v>
      </c>
      <c r="J312" s="86">
        <v>22235501.592</v>
      </c>
      <c r="K312" s="88">
        <v>1.21E-2</v>
      </c>
      <c r="L312" s="88">
        <v>1.24E-2</v>
      </c>
      <c r="M312" s="1">
        <v>45754</v>
      </c>
      <c r="N312" s="1">
        <v>45752</v>
      </c>
      <c r="O312" s="86">
        <v>22235501.592</v>
      </c>
      <c r="P312" t="s">
        <v>32</v>
      </c>
      <c r="Q312">
        <v>1</v>
      </c>
      <c r="R312">
        <v>1</v>
      </c>
      <c r="S312">
        <v>1</v>
      </c>
      <c r="T312" s="89">
        <v>12</v>
      </c>
      <c r="U312">
        <v>2025</v>
      </c>
      <c r="V312" s="90">
        <v>45717</v>
      </c>
      <c r="W312" s="87">
        <v>269049.56926319998</v>
      </c>
      <c r="X312" s="87">
        <v>275720.21974079998</v>
      </c>
      <c r="Y312" s="87">
        <v>-6670.6504775999983</v>
      </c>
    </row>
    <row r="313" spans="1:25">
      <c r="A313" t="s">
        <v>439</v>
      </c>
      <c r="B313" t="s">
        <v>63</v>
      </c>
      <c r="C313" t="s">
        <v>64</v>
      </c>
      <c r="D313" t="s">
        <v>49</v>
      </c>
      <c r="E313" t="s">
        <v>56</v>
      </c>
      <c r="F313" t="s">
        <v>65</v>
      </c>
      <c r="G313" t="s">
        <v>66</v>
      </c>
      <c r="H313" s="1">
        <v>45741</v>
      </c>
      <c r="I313" s="1">
        <v>45742</v>
      </c>
      <c r="J313" s="86">
        <v>2304.56</v>
      </c>
      <c r="K313" s="88">
        <v>158</v>
      </c>
      <c r="L313" s="88">
        <v>164.8</v>
      </c>
      <c r="M313" s="1">
        <v>45770</v>
      </c>
      <c r="N313" s="1">
        <v>45769</v>
      </c>
      <c r="O313" s="86">
        <v>2304.56</v>
      </c>
      <c r="P313" t="s">
        <v>32</v>
      </c>
      <c r="Q313">
        <v>1</v>
      </c>
      <c r="R313">
        <v>1</v>
      </c>
      <c r="S313">
        <v>1</v>
      </c>
      <c r="T313" s="89">
        <v>27</v>
      </c>
      <c r="U313">
        <v>2025</v>
      </c>
      <c r="V313" s="90">
        <v>45717</v>
      </c>
      <c r="W313" s="87">
        <v>364120.48</v>
      </c>
      <c r="X313" s="87">
        <v>379791.48800000001</v>
      </c>
      <c r="Y313" s="87">
        <v>-15671.008000000025</v>
      </c>
    </row>
    <row r="314" spans="1:25">
      <c r="A314" t="s">
        <v>440</v>
      </c>
      <c r="B314" t="s">
        <v>68</v>
      </c>
      <c r="C314" t="s">
        <v>69</v>
      </c>
      <c r="D314" t="s">
        <v>43</v>
      </c>
      <c r="E314" t="s">
        <v>37</v>
      </c>
      <c r="F314" t="s">
        <v>44</v>
      </c>
      <c r="G314" t="s">
        <v>45</v>
      </c>
      <c r="H314" s="1">
        <v>45742</v>
      </c>
      <c r="I314" s="1">
        <v>45746</v>
      </c>
      <c r="J314" s="86">
        <v>115339.749</v>
      </c>
      <c r="K314" s="88">
        <v>4.07</v>
      </c>
      <c r="L314" s="88">
        <v>4.17</v>
      </c>
      <c r="M314" s="1">
        <v>45767</v>
      </c>
      <c r="N314" s="1">
        <v>45764</v>
      </c>
      <c r="O314" s="86">
        <v>111482.693</v>
      </c>
      <c r="P314" t="s">
        <v>32</v>
      </c>
      <c r="Q314">
        <v>1</v>
      </c>
      <c r="R314">
        <v>0</v>
      </c>
      <c r="S314">
        <v>0</v>
      </c>
      <c r="T314" s="89">
        <v>18</v>
      </c>
      <c r="U314">
        <v>2025</v>
      </c>
      <c r="V314" s="90">
        <v>45717</v>
      </c>
      <c r="W314" s="87">
        <v>453734.56051000004</v>
      </c>
      <c r="X314" s="87">
        <v>464882.82980999997</v>
      </c>
      <c r="Y314" s="87">
        <v>-11148.26929999996</v>
      </c>
    </row>
    <row r="315" spans="1:25">
      <c r="A315" t="s">
        <v>441</v>
      </c>
      <c r="B315" t="s">
        <v>128</v>
      </c>
      <c r="C315" t="s">
        <v>129</v>
      </c>
      <c r="D315" t="s">
        <v>130</v>
      </c>
      <c r="E315" t="s">
        <v>84</v>
      </c>
      <c r="F315" t="s">
        <v>131</v>
      </c>
      <c r="G315" t="s">
        <v>132</v>
      </c>
      <c r="H315" s="1">
        <v>45741</v>
      </c>
      <c r="I315" s="1">
        <v>45743</v>
      </c>
      <c r="J315" s="86">
        <v>1.946</v>
      </c>
      <c r="K315" s="88">
        <v>71673.440000000002</v>
      </c>
      <c r="L315" s="88">
        <v>66950</v>
      </c>
      <c r="M315" s="1">
        <v>45764</v>
      </c>
      <c r="N315" s="1">
        <v>45761</v>
      </c>
      <c r="O315" s="86">
        <v>1.946</v>
      </c>
      <c r="P315" t="s">
        <v>213</v>
      </c>
      <c r="Q315">
        <v>1</v>
      </c>
      <c r="R315">
        <v>1</v>
      </c>
      <c r="S315">
        <v>1</v>
      </c>
      <c r="T315" s="89">
        <v>18</v>
      </c>
      <c r="U315">
        <v>2025</v>
      </c>
      <c r="V315" s="90">
        <v>45717</v>
      </c>
      <c r="W315" s="87">
        <v>139476.51423999999</v>
      </c>
      <c r="X315" s="87">
        <v>130284.7</v>
      </c>
      <c r="Y315" s="87">
        <v>9191.8142400000052</v>
      </c>
    </row>
    <row r="316" spans="1:25">
      <c r="A316" t="s">
        <v>442</v>
      </c>
      <c r="B316" t="s">
        <v>26</v>
      </c>
      <c r="C316" t="s">
        <v>27</v>
      </c>
      <c r="D316" t="s">
        <v>28</v>
      </c>
      <c r="E316" t="s">
        <v>29</v>
      </c>
      <c r="F316" t="s">
        <v>149</v>
      </c>
      <c r="G316" t="s">
        <v>150</v>
      </c>
      <c r="H316" s="1">
        <v>45748</v>
      </c>
      <c r="I316" s="1">
        <v>45749</v>
      </c>
      <c r="J316" s="86">
        <v>19204.530999999999</v>
      </c>
      <c r="K316" s="88">
        <v>104.84</v>
      </c>
      <c r="L316" s="88">
        <v>107.13</v>
      </c>
      <c r="M316" s="1">
        <v>45791</v>
      </c>
      <c r="N316" s="1">
        <v>45789</v>
      </c>
      <c r="O316" s="86">
        <v>19204.530999999999</v>
      </c>
      <c r="P316" t="s">
        <v>32</v>
      </c>
      <c r="Q316">
        <v>1</v>
      </c>
      <c r="R316">
        <v>1</v>
      </c>
      <c r="S316">
        <v>1</v>
      </c>
      <c r="T316" s="89">
        <v>40</v>
      </c>
      <c r="U316">
        <v>2025</v>
      </c>
      <c r="V316" s="90">
        <v>45748</v>
      </c>
      <c r="W316" s="87">
        <v>2013403.0300399999</v>
      </c>
      <c r="X316" s="87">
        <v>2057381.4060299997</v>
      </c>
      <c r="Y316" s="87">
        <v>-43978.375989999848</v>
      </c>
    </row>
    <row r="317" spans="1:25">
      <c r="A317" t="s">
        <v>443</v>
      </c>
      <c r="B317" t="s">
        <v>76</v>
      </c>
      <c r="C317" t="s">
        <v>77</v>
      </c>
      <c r="D317" t="s">
        <v>78</v>
      </c>
      <c r="E317" t="s">
        <v>37</v>
      </c>
      <c r="F317" t="s">
        <v>44</v>
      </c>
      <c r="G317" t="s">
        <v>45</v>
      </c>
      <c r="H317" s="1">
        <v>45748</v>
      </c>
      <c r="I317" s="1">
        <v>45750</v>
      </c>
      <c r="J317" s="86">
        <v>11526.138000000001</v>
      </c>
      <c r="K317" s="88">
        <v>35.49</v>
      </c>
      <c r="L317" s="88">
        <v>39.14</v>
      </c>
      <c r="M317" s="1">
        <v>45785</v>
      </c>
      <c r="N317" s="1">
        <v>45783</v>
      </c>
      <c r="O317" s="86">
        <v>11526.138000000001</v>
      </c>
      <c r="P317" t="s">
        <v>32</v>
      </c>
      <c r="Q317">
        <v>1</v>
      </c>
      <c r="R317">
        <v>1</v>
      </c>
      <c r="S317">
        <v>1</v>
      </c>
      <c r="T317" s="89">
        <v>33</v>
      </c>
      <c r="U317">
        <v>2025</v>
      </c>
      <c r="V317" s="90">
        <v>45748</v>
      </c>
      <c r="W317" s="87">
        <v>409062.63762000005</v>
      </c>
      <c r="X317" s="87">
        <v>451133.04132000002</v>
      </c>
      <c r="Y317" s="87">
        <v>-42070.403699999988</v>
      </c>
    </row>
    <row r="318" spans="1:25">
      <c r="A318" t="s">
        <v>444</v>
      </c>
      <c r="B318" t="s">
        <v>92</v>
      </c>
      <c r="C318" t="s">
        <v>93</v>
      </c>
      <c r="D318" t="s">
        <v>94</v>
      </c>
      <c r="E318" t="s">
        <v>56</v>
      </c>
      <c r="F318" t="s">
        <v>95</v>
      </c>
      <c r="G318" t="s">
        <v>96</v>
      </c>
      <c r="H318" s="1">
        <v>45747</v>
      </c>
      <c r="I318" s="1">
        <v>45748</v>
      </c>
      <c r="J318" s="86">
        <v>76.861999999999995</v>
      </c>
      <c r="K318" s="88">
        <v>4119.82</v>
      </c>
      <c r="L318" s="88">
        <v>4017</v>
      </c>
      <c r="M318" s="1">
        <v>45818</v>
      </c>
      <c r="N318" s="1">
        <v>45823</v>
      </c>
      <c r="O318" s="86">
        <v>76.861999999999995</v>
      </c>
      <c r="P318" t="s">
        <v>32</v>
      </c>
      <c r="Q318">
        <v>0</v>
      </c>
      <c r="R318">
        <v>1</v>
      </c>
      <c r="S318">
        <v>0</v>
      </c>
      <c r="T318" s="89">
        <v>75</v>
      </c>
      <c r="U318">
        <v>2025</v>
      </c>
      <c r="V318" s="90">
        <v>45748</v>
      </c>
      <c r="W318" s="87">
        <v>316657.60483999993</v>
      </c>
      <c r="X318" s="87">
        <v>308754.65399999998</v>
      </c>
      <c r="Y318" s="87">
        <v>7902.9508399999768</v>
      </c>
    </row>
    <row r="319" spans="1:25">
      <c r="A319" t="s">
        <v>445</v>
      </c>
      <c r="B319" t="s">
        <v>98</v>
      </c>
      <c r="C319" t="s">
        <v>99</v>
      </c>
      <c r="D319" t="s">
        <v>100</v>
      </c>
      <c r="E319" t="s">
        <v>101</v>
      </c>
      <c r="F319" t="s">
        <v>102</v>
      </c>
      <c r="G319" t="s">
        <v>103</v>
      </c>
      <c r="H319" s="1">
        <v>45747</v>
      </c>
      <c r="I319" s="1">
        <v>45748</v>
      </c>
      <c r="J319" s="86">
        <v>19.149999999999999</v>
      </c>
      <c r="K319" s="88">
        <v>6058.9</v>
      </c>
      <c r="L319" s="88">
        <v>6386</v>
      </c>
      <c r="M319" s="1">
        <v>45797</v>
      </c>
      <c r="N319" s="1">
        <v>45795</v>
      </c>
      <c r="O319" s="86">
        <v>19.149999999999999</v>
      </c>
      <c r="P319" t="s">
        <v>32</v>
      </c>
      <c r="Q319">
        <v>1</v>
      </c>
      <c r="R319">
        <v>1</v>
      </c>
      <c r="S319">
        <v>1</v>
      </c>
      <c r="T319" s="89">
        <v>47</v>
      </c>
      <c r="U319">
        <v>2025</v>
      </c>
      <c r="V319" s="90">
        <v>45748</v>
      </c>
      <c r="W319" s="87">
        <v>116027.93499999998</v>
      </c>
      <c r="X319" s="87">
        <v>122291.9</v>
      </c>
      <c r="Y319" s="87">
        <v>-6263.9650000000065</v>
      </c>
    </row>
    <row r="320" spans="1:25">
      <c r="A320" t="s">
        <v>446</v>
      </c>
      <c r="B320" t="s">
        <v>134</v>
      </c>
      <c r="C320" t="s">
        <v>135</v>
      </c>
      <c r="D320" t="s">
        <v>136</v>
      </c>
      <c r="E320" t="s">
        <v>101</v>
      </c>
      <c r="F320" t="s">
        <v>137</v>
      </c>
      <c r="G320" t="s">
        <v>138</v>
      </c>
      <c r="H320" s="1">
        <v>45747</v>
      </c>
      <c r="I320" s="1">
        <v>45748</v>
      </c>
      <c r="J320" s="86">
        <v>68534.494999999995</v>
      </c>
      <c r="K320" s="88">
        <v>7.15</v>
      </c>
      <c r="L320" s="88">
        <v>6.7</v>
      </c>
      <c r="M320" s="1">
        <v>45762</v>
      </c>
      <c r="N320" s="1">
        <v>45760</v>
      </c>
      <c r="O320" s="86">
        <v>68534.494999999995</v>
      </c>
      <c r="P320" t="s">
        <v>213</v>
      </c>
      <c r="Q320">
        <v>1</v>
      </c>
      <c r="R320">
        <v>1</v>
      </c>
      <c r="S320">
        <v>1</v>
      </c>
      <c r="T320" s="89">
        <v>12</v>
      </c>
      <c r="U320">
        <v>2025</v>
      </c>
      <c r="V320" s="90">
        <v>45748</v>
      </c>
      <c r="W320" s="87">
        <v>490021.63925000001</v>
      </c>
      <c r="X320" s="87">
        <v>459181.1165</v>
      </c>
      <c r="Y320" s="87">
        <v>30840.522750000011</v>
      </c>
    </row>
    <row r="321" spans="1:25">
      <c r="A321" t="s">
        <v>447</v>
      </c>
      <c r="B321" t="s">
        <v>41</v>
      </c>
      <c r="C321" t="s">
        <v>42</v>
      </c>
      <c r="D321" t="s">
        <v>43</v>
      </c>
      <c r="E321" t="s">
        <v>37</v>
      </c>
      <c r="F321" t="s">
        <v>70</v>
      </c>
      <c r="G321" t="s">
        <v>71</v>
      </c>
      <c r="H321" s="1">
        <v>45761</v>
      </c>
      <c r="I321" s="1">
        <v>45763</v>
      </c>
      <c r="J321" s="86">
        <v>43179.141000000003</v>
      </c>
      <c r="K321" s="88">
        <v>8.8000000000000007</v>
      </c>
      <c r="L321" s="88">
        <v>9.7799999999999994</v>
      </c>
      <c r="M321" s="1">
        <v>45784</v>
      </c>
      <c r="N321" s="1">
        <v>45783</v>
      </c>
      <c r="O321" s="86">
        <v>43179.141000000003</v>
      </c>
      <c r="P321" t="s">
        <v>32</v>
      </c>
      <c r="Q321">
        <v>1</v>
      </c>
      <c r="R321">
        <v>1</v>
      </c>
      <c r="S321">
        <v>1</v>
      </c>
      <c r="T321" s="89">
        <v>20</v>
      </c>
      <c r="U321">
        <v>2025</v>
      </c>
      <c r="V321" s="90">
        <v>45748</v>
      </c>
      <c r="W321" s="87">
        <v>379976.44080000004</v>
      </c>
      <c r="X321" s="87">
        <v>422291.99898000003</v>
      </c>
      <c r="Y321" s="87">
        <v>-42315.558179999942</v>
      </c>
    </row>
    <row r="322" spans="1:25">
      <c r="A322" t="s">
        <v>448</v>
      </c>
      <c r="B322" t="s">
        <v>47</v>
      </c>
      <c r="C322" t="s">
        <v>48</v>
      </c>
      <c r="D322" t="s">
        <v>49</v>
      </c>
      <c r="E322" t="s">
        <v>50</v>
      </c>
      <c r="F322" t="s">
        <v>51</v>
      </c>
      <c r="G322" t="s">
        <v>52</v>
      </c>
      <c r="H322" s="1">
        <v>45763</v>
      </c>
      <c r="I322" s="1">
        <v>45765</v>
      </c>
      <c r="J322" s="86">
        <v>120.36</v>
      </c>
      <c r="K322" s="88">
        <v>1829.26</v>
      </c>
      <c r="L322" s="88">
        <v>1905.5</v>
      </c>
      <c r="M322" s="1">
        <v>45821</v>
      </c>
      <c r="N322" s="1">
        <v>45821</v>
      </c>
      <c r="O322" s="86">
        <v>120.36</v>
      </c>
      <c r="P322" t="s">
        <v>32</v>
      </c>
      <c r="Q322">
        <v>1</v>
      </c>
      <c r="R322">
        <v>1</v>
      </c>
      <c r="S322">
        <v>1</v>
      </c>
      <c r="T322" s="89">
        <v>56</v>
      </c>
      <c r="U322">
        <v>2025</v>
      </c>
      <c r="V322" s="90">
        <v>45748</v>
      </c>
      <c r="W322" s="87">
        <v>220169.73360000001</v>
      </c>
      <c r="X322" s="87">
        <v>229345.98</v>
      </c>
      <c r="Y322" s="87">
        <v>-9176.2464000000018</v>
      </c>
    </row>
    <row r="323" spans="1:25">
      <c r="A323" t="s">
        <v>449</v>
      </c>
      <c r="B323" t="s">
        <v>60</v>
      </c>
      <c r="C323" t="s">
        <v>61</v>
      </c>
      <c r="D323" t="s">
        <v>49</v>
      </c>
      <c r="E323" t="s">
        <v>56</v>
      </c>
      <c r="F323" t="s">
        <v>57</v>
      </c>
      <c r="G323" t="s">
        <v>58</v>
      </c>
      <c r="H323" s="1">
        <v>45763</v>
      </c>
      <c r="I323" s="1">
        <v>45765</v>
      </c>
      <c r="J323" s="86">
        <v>1598.1410000000001</v>
      </c>
      <c r="K323" s="88">
        <v>412.52</v>
      </c>
      <c r="L323" s="88">
        <v>434.97</v>
      </c>
      <c r="M323" s="1">
        <v>45807</v>
      </c>
      <c r="N323" s="1">
        <v>45811</v>
      </c>
      <c r="O323" s="86">
        <v>1598.1410000000001</v>
      </c>
      <c r="P323" t="s">
        <v>32</v>
      </c>
      <c r="Q323">
        <v>0</v>
      </c>
      <c r="R323">
        <v>1</v>
      </c>
      <c r="S323">
        <v>0</v>
      </c>
      <c r="T323" s="89">
        <v>46</v>
      </c>
      <c r="U323">
        <v>2025</v>
      </c>
      <c r="V323" s="90">
        <v>45748</v>
      </c>
      <c r="W323" s="87">
        <v>659265.12531999999</v>
      </c>
      <c r="X323" s="87">
        <v>695143.39077000006</v>
      </c>
      <c r="Y323" s="87">
        <v>-35878.265450000072</v>
      </c>
    </row>
    <row r="324" spans="1:25">
      <c r="A324" t="s">
        <v>450</v>
      </c>
      <c r="B324" t="s">
        <v>73</v>
      </c>
      <c r="C324" t="s">
        <v>74</v>
      </c>
      <c r="D324" t="s">
        <v>43</v>
      </c>
      <c r="E324" t="s">
        <v>37</v>
      </c>
      <c r="F324" t="s">
        <v>70</v>
      </c>
      <c r="G324" t="s">
        <v>71</v>
      </c>
      <c r="H324" s="1">
        <v>45763</v>
      </c>
      <c r="I324" s="1">
        <v>45765</v>
      </c>
      <c r="J324" s="86">
        <v>55800.614000000001</v>
      </c>
      <c r="K324" s="88">
        <v>6.85</v>
      </c>
      <c r="L324" s="88">
        <v>7</v>
      </c>
      <c r="M324" s="1">
        <v>45786</v>
      </c>
      <c r="N324" s="1">
        <v>45785</v>
      </c>
      <c r="O324" s="86">
        <v>55800.614000000001</v>
      </c>
      <c r="P324" t="s">
        <v>32</v>
      </c>
      <c r="Q324">
        <v>1</v>
      </c>
      <c r="R324">
        <v>1</v>
      </c>
      <c r="S324">
        <v>1</v>
      </c>
      <c r="T324" s="89">
        <v>20</v>
      </c>
      <c r="U324">
        <v>2025</v>
      </c>
      <c r="V324" s="90">
        <v>45748</v>
      </c>
      <c r="W324" s="87">
        <v>382234.2059</v>
      </c>
      <c r="X324" s="87">
        <v>390604.29800000001</v>
      </c>
      <c r="Y324" s="87">
        <v>-8370.0921000000199</v>
      </c>
    </row>
    <row r="325" spans="1:25">
      <c r="A325" t="s">
        <v>451</v>
      </c>
      <c r="B325" t="s">
        <v>82</v>
      </c>
      <c r="C325" t="s">
        <v>83</v>
      </c>
      <c r="D325" t="s">
        <v>78</v>
      </c>
      <c r="E325" t="s">
        <v>84</v>
      </c>
      <c r="F325" t="s">
        <v>79</v>
      </c>
      <c r="G325" t="s">
        <v>80</v>
      </c>
      <c r="H325" s="1">
        <v>45763</v>
      </c>
      <c r="I325" s="1">
        <v>45766</v>
      </c>
      <c r="J325" s="86">
        <v>287.87900000000002</v>
      </c>
      <c r="K325" s="88">
        <v>511.71</v>
      </c>
      <c r="L325" s="88">
        <v>535.6</v>
      </c>
      <c r="M325" s="1">
        <v>45801</v>
      </c>
      <c r="N325" s="1">
        <v>45798</v>
      </c>
      <c r="O325" s="86">
        <v>287.87900000000002</v>
      </c>
      <c r="P325" t="s">
        <v>32</v>
      </c>
      <c r="Q325">
        <v>1</v>
      </c>
      <c r="R325">
        <v>1</v>
      </c>
      <c r="S325">
        <v>1</v>
      </c>
      <c r="T325" s="89">
        <v>32</v>
      </c>
      <c r="U325">
        <v>2025</v>
      </c>
      <c r="V325" s="90">
        <v>45748</v>
      </c>
      <c r="W325" s="87">
        <v>147310.56309000001</v>
      </c>
      <c r="X325" s="87">
        <v>154187.99240000002</v>
      </c>
      <c r="Y325" s="87">
        <v>-6877.4293100000132</v>
      </c>
    </row>
    <row r="326" spans="1:25">
      <c r="A326" t="s">
        <v>452</v>
      </c>
      <c r="B326" t="s">
        <v>86</v>
      </c>
      <c r="C326" t="s">
        <v>87</v>
      </c>
      <c r="D326" t="s">
        <v>88</v>
      </c>
      <c r="E326" t="s">
        <v>84</v>
      </c>
      <c r="F326" t="s">
        <v>89</v>
      </c>
      <c r="G326" t="s">
        <v>90</v>
      </c>
      <c r="H326" s="1">
        <v>45763</v>
      </c>
      <c r="I326" s="1">
        <v>45764</v>
      </c>
      <c r="J326" s="86">
        <v>14.385</v>
      </c>
      <c r="K326" s="88">
        <v>9515.3700000000008</v>
      </c>
      <c r="L326" s="88">
        <v>9980.7000000000007</v>
      </c>
      <c r="M326" s="1">
        <v>45827</v>
      </c>
      <c r="N326" s="1">
        <v>45827</v>
      </c>
      <c r="O326" s="86">
        <v>14.385</v>
      </c>
      <c r="P326" t="s">
        <v>32</v>
      </c>
      <c r="Q326">
        <v>1</v>
      </c>
      <c r="R326">
        <v>1</v>
      </c>
      <c r="S326">
        <v>1</v>
      </c>
      <c r="T326" s="89">
        <v>63</v>
      </c>
      <c r="U326">
        <v>2025</v>
      </c>
      <c r="V326" s="90">
        <v>45748</v>
      </c>
      <c r="W326" s="87">
        <v>136878.59745</v>
      </c>
      <c r="X326" s="87">
        <v>143572.3695</v>
      </c>
      <c r="Y326" s="87">
        <v>-6693.7720499999987</v>
      </c>
    </row>
    <row r="327" spans="1:25">
      <c r="A327" t="s">
        <v>453</v>
      </c>
      <c r="B327" t="s">
        <v>111</v>
      </c>
      <c r="C327" t="s">
        <v>112</v>
      </c>
      <c r="D327" t="s">
        <v>113</v>
      </c>
      <c r="E327" t="s">
        <v>84</v>
      </c>
      <c r="F327" t="s">
        <v>121</v>
      </c>
      <c r="G327" t="s">
        <v>122</v>
      </c>
      <c r="H327" s="1">
        <v>45763</v>
      </c>
      <c r="I327" s="1">
        <v>45765</v>
      </c>
      <c r="J327" s="86">
        <v>21462543.067000002</v>
      </c>
      <c r="K327" s="88">
        <v>9.6000000000000002E-2</v>
      </c>
      <c r="L327" s="88">
        <v>0.1133</v>
      </c>
      <c r="M327" s="1">
        <v>45835</v>
      </c>
      <c r="N327" s="1">
        <v>45832</v>
      </c>
      <c r="O327" s="86">
        <v>21462543.067000002</v>
      </c>
      <c r="P327" t="s">
        <v>32</v>
      </c>
      <c r="Q327">
        <v>1</v>
      </c>
      <c r="R327">
        <v>1</v>
      </c>
      <c r="S327">
        <v>1</v>
      </c>
      <c r="T327" s="89">
        <v>67</v>
      </c>
      <c r="U327">
        <v>2025</v>
      </c>
      <c r="V327" s="90">
        <v>45748</v>
      </c>
      <c r="W327" s="87">
        <v>2060404.1344320001</v>
      </c>
      <c r="X327" s="87">
        <v>2431706.1294911001</v>
      </c>
      <c r="Y327" s="87">
        <v>-371301.99505909992</v>
      </c>
    </row>
    <row r="328" spans="1:25">
      <c r="A328" t="s">
        <v>454</v>
      </c>
      <c r="B328" t="s">
        <v>134</v>
      </c>
      <c r="C328" t="s">
        <v>135</v>
      </c>
      <c r="D328" t="s">
        <v>136</v>
      </c>
      <c r="E328" t="s">
        <v>101</v>
      </c>
      <c r="F328" t="s">
        <v>137</v>
      </c>
      <c r="G328" t="s">
        <v>138</v>
      </c>
      <c r="H328" s="1">
        <v>45763</v>
      </c>
      <c r="I328" s="1">
        <v>45766</v>
      </c>
      <c r="J328" s="86">
        <v>59353.279000000002</v>
      </c>
      <c r="K328" s="88">
        <v>6.49</v>
      </c>
      <c r="L328" s="88">
        <v>6.7</v>
      </c>
      <c r="M328" s="1">
        <v>45822</v>
      </c>
      <c r="N328" s="1">
        <v>45819</v>
      </c>
      <c r="O328" s="86">
        <v>59353.279000000002</v>
      </c>
      <c r="P328" t="s">
        <v>32</v>
      </c>
      <c r="Q328">
        <v>1</v>
      </c>
      <c r="R328">
        <v>1</v>
      </c>
      <c r="S328">
        <v>1</v>
      </c>
      <c r="T328" s="89">
        <v>53</v>
      </c>
      <c r="U328">
        <v>2025</v>
      </c>
      <c r="V328" s="90">
        <v>45748</v>
      </c>
      <c r="W328" s="87">
        <v>385202.78071000002</v>
      </c>
      <c r="X328" s="87">
        <v>397666.9693</v>
      </c>
      <c r="Y328" s="87">
        <v>-12464.188589999998</v>
      </c>
    </row>
    <row r="329" spans="1:25">
      <c r="A329" t="s">
        <v>455</v>
      </c>
      <c r="B329" t="s">
        <v>54</v>
      </c>
      <c r="C329" t="s">
        <v>55</v>
      </c>
      <c r="D329" t="s">
        <v>49</v>
      </c>
      <c r="E329" t="s">
        <v>56</v>
      </c>
      <c r="F329" t="s">
        <v>57</v>
      </c>
      <c r="G329" t="s">
        <v>58</v>
      </c>
      <c r="H329" s="1">
        <v>45769</v>
      </c>
      <c r="I329" s="1">
        <v>45773</v>
      </c>
      <c r="J329" s="86">
        <v>21610.769</v>
      </c>
      <c r="K329" s="88">
        <v>26.37</v>
      </c>
      <c r="L329" s="88">
        <v>28.84</v>
      </c>
      <c r="M329" s="1">
        <v>45815</v>
      </c>
      <c r="N329" s="1">
        <v>45812</v>
      </c>
      <c r="O329" s="86">
        <v>21610.769</v>
      </c>
      <c r="P329" t="s">
        <v>32</v>
      </c>
      <c r="Q329">
        <v>1</v>
      </c>
      <c r="R329">
        <v>1</v>
      </c>
      <c r="S329">
        <v>1</v>
      </c>
      <c r="T329" s="89">
        <v>39</v>
      </c>
      <c r="U329">
        <v>2025</v>
      </c>
      <c r="V329" s="90">
        <v>45748</v>
      </c>
      <c r="W329" s="87">
        <v>569875.97853000008</v>
      </c>
      <c r="X329" s="87">
        <v>623254.57796000002</v>
      </c>
      <c r="Y329" s="87">
        <v>-53378.599429999973</v>
      </c>
    </row>
    <row r="330" spans="1:25">
      <c r="A330" t="s">
        <v>456</v>
      </c>
      <c r="B330" t="s">
        <v>68</v>
      </c>
      <c r="C330" t="s">
        <v>69</v>
      </c>
      <c r="D330" t="s">
        <v>43</v>
      </c>
      <c r="E330" t="s">
        <v>37</v>
      </c>
      <c r="F330" t="s">
        <v>44</v>
      </c>
      <c r="G330" t="s">
        <v>45</v>
      </c>
      <c r="H330" s="1">
        <v>45769</v>
      </c>
      <c r="I330" s="1">
        <v>45774</v>
      </c>
      <c r="J330" s="86">
        <v>118914.054</v>
      </c>
      <c r="K330" s="88">
        <v>4.03</v>
      </c>
      <c r="L330" s="88">
        <v>4.17</v>
      </c>
      <c r="M330" s="1">
        <v>45795</v>
      </c>
      <c r="N330" s="1">
        <v>45793</v>
      </c>
      <c r="O330" s="86">
        <v>118914.054</v>
      </c>
      <c r="P330" t="s">
        <v>32</v>
      </c>
      <c r="Q330">
        <v>1</v>
      </c>
      <c r="R330">
        <v>1</v>
      </c>
      <c r="S330">
        <v>1</v>
      </c>
      <c r="T330" s="89">
        <v>19</v>
      </c>
      <c r="U330">
        <v>2025</v>
      </c>
      <c r="V330" s="90">
        <v>45748</v>
      </c>
      <c r="W330" s="87">
        <v>479223.63762000005</v>
      </c>
      <c r="X330" s="87">
        <v>495871.60518000001</v>
      </c>
      <c r="Y330" s="87">
        <v>-16647.967559999961</v>
      </c>
    </row>
    <row r="331" spans="1:25">
      <c r="A331" t="s">
        <v>457</v>
      </c>
      <c r="B331" t="s">
        <v>117</v>
      </c>
      <c r="C331" t="s">
        <v>118</v>
      </c>
      <c r="D331" t="s">
        <v>119</v>
      </c>
      <c r="E331" t="s">
        <v>120</v>
      </c>
      <c r="F331" t="s">
        <v>137</v>
      </c>
      <c r="G331" t="s">
        <v>138</v>
      </c>
      <c r="H331" s="1">
        <v>45769</v>
      </c>
      <c r="I331" s="1">
        <v>45770</v>
      </c>
      <c r="J331" s="86">
        <v>13301924.959000001</v>
      </c>
      <c r="K331" s="88">
        <v>4.0000000000000001E-3</v>
      </c>
      <c r="L331" s="88">
        <v>4.1000000000000003E-3</v>
      </c>
      <c r="M331" s="1">
        <v>45805</v>
      </c>
      <c r="N331" s="1">
        <v>45802</v>
      </c>
      <c r="O331" s="86">
        <v>13301924.959000001</v>
      </c>
      <c r="P331" t="s">
        <v>32</v>
      </c>
      <c r="Q331">
        <v>1</v>
      </c>
      <c r="R331">
        <v>1</v>
      </c>
      <c r="S331">
        <v>1</v>
      </c>
      <c r="T331" s="89">
        <v>32</v>
      </c>
      <c r="U331">
        <v>2025</v>
      </c>
      <c r="V331" s="90">
        <v>45748</v>
      </c>
      <c r="W331" s="87">
        <v>53207.699836000007</v>
      </c>
      <c r="X331" s="87">
        <v>54537.89233190001</v>
      </c>
      <c r="Y331" s="87">
        <v>-1330.1924959000035</v>
      </c>
    </row>
    <row r="332" spans="1:25">
      <c r="A332" t="s">
        <v>458</v>
      </c>
      <c r="B332" t="s">
        <v>124</v>
      </c>
      <c r="C332" t="s">
        <v>125</v>
      </c>
      <c r="D332" t="s">
        <v>119</v>
      </c>
      <c r="E332" t="s">
        <v>126</v>
      </c>
      <c r="F332" t="s">
        <v>121</v>
      </c>
      <c r="G332" t="s">
        <v>122</v>
      </c>
      <c r="H332" s="1">
        <v>45768</v>
      </c>
      <c r="I332" s="1">
        <v>45770</v>
      </c>
      <c r="J332" s="86">
        <v>7759232.0259999996</v>
      </c>
      <c r="K332" s="88">
        <v>2.0500000000000001E-2</v>
      </c>
      <c r="L332" s="88">
        <v>2.06E-2</v>
      </c>
      <c r="M332" s="1">
        <v>45805</v>
      </c>
      <c r="N332" s="1">
        <v>45803</v>
      </c>
      <c r="O332" s="86">
        <v>7759232.0259999996</v>
      </c>
      <c r="P332" t="s">
        <v>32</v>
      </c>
      <c r="Q332">
        <v>1</v>
      </c>
      <c r="R332">
        <v>1</v>
      </c>
      <c r="S332">
        <v>1</v>
      </c>
      <c r="T332" s="89">
        <v>33</v>
      </c>
      <c r="U332">
        <v>2025</v>
      </c>
      <c r="V332" s="90">
        <v>45748</v>
      </c>
      <c r="W332" s="87">
        <v>159064.25653300001</v>
      </c>
      <c r="X332" s="87">
        <v>159840.17973559999</v>
      </c>
      <c r="Y332" s="87">
        <v>-775.92320259999531</v>
      </c>
    </row>
    <row r="333" spans="1:25">
      <c r="A333" t="s">
        <v>459</v>
      </c>
      <c r="B333" t="s">
        <v>140</v>
      </c>
      <c r="C333" t="s">
        <v>141</v>
      </c>
      <c r="D333" t="s">
        <v>142</v>
      </c>
      <c r="E333" t="s">
        <v>84</v>
      </c>
      <c r="F333" t="s">
        <v>121</v>
      </c>
      <c r="G333" t="s">
        <v>122</v>
      </c>
      <c r="H333" s="1">
        <v>45769</v>
      </c>
      <c r="I333" s="1">
        <v>45770</v>
      </c>
      <c r="J333" s="86">
        <v>22267196.140999999</v>
      </c>
      <c r="K333" s="88">
        <v>1.06E-2</v>
      </c>
      <c r="L333" s="88">
        <v>1.24E-2</v>
      </c>
      <c r="M333" s="1">
        <v>45784</v>
      </c>
      <c r="N333" s="1">
        <v>45788</v>
      </c>
      <c r="O333" s="86">
        <v>22267196.140999999</v>
      </c>
      <c r="P333" t="s">
        <v>32</v>
      </c>
      <c r="Q333">
        <v>0</v>
      </c>
      <c r="R333">
        <v>1</v>
      </c>
      <c r="S333">
        <v>0</v>
      </c>
      <c r="T333" s="89">
        <v>18</v>
      </c>
      <c r="U333">
        <v>2025</v>
      </c>
      <c r="V333" s="90">
        <v>45748</v>
      </c>
      <c r="W333" s="87">
        <v>236032.2790946</v>
      </c>
      <c r="X333" s="87">
        <v>276113.23214839998</v>
      </c>
      <c r="Y333" s="87">
        <v>-40080.953053799989</v>
      </c>
    </row>
    <row r="334" spans="1:25">
      <c r="A334" t="s">
        <v>460</v>
      </c>
      <c r="B334" t="s">
        <v>63</v>
      </c>
      <c r="C334" t="s">
        <v>64</v>
      </c>
      <c r="D334" t="s">
        <v>49</v>
      </c>
      <c r="E334" t="s">
        <v>56</v>
      </c>
      <c r="F334" t="s">
        <v>65</v>
      </c>
      <c r="G334" t="s">
        <v>66</v>
      </c>
      <c r="H334" s="1">
        <v>45775</v>
      </c>
      <c r="I334" s="1">
        <v>45778</v>
      </c>
      <c r="J334" s="86">
        <v>2877.1060000000002</v>
      </c>
      <c r="K334" s="88">
        <v>158.9</v>
      </c>
      <c r="L334" s="88">
        <v>164.8</v>
      </c>
      <c r="M334" s="1">
        <v>45806</v>
      </c>
      <c r="N334" s="1">
        <v>45803</v>
      </c>
      <c r="O334" s="86">
        <v>2877.1060000000002</v>
      </c>
      <c r="P334" t="s">
        <v>32</v>
      </c>
      <c r="Q334">
        <v>1</v>
      </c>
      <c r="R334">
        <v>1</v>
      </c>
      <c r="S334">
        <v>1</v>
      </c>
      <c r="T334" s="89">
        <v>25</v>
      </c>
      <c r="U334">
        <v>2025</v>
      </c>
      <c r="V334" s="90">
        <v>45778</v>
      </c>
      <c r="W334" s="87">
        <v>457172.14340000006</v>
      </c>
      <c r="X334" s="87">
        <v>474147.06880000007</v>
      </c>
      <c r="Y334" s="87">
        <v>-16974.925400000018</v>
      </c>
    </row>
    <row r="335" spans="1:25">
      <c r="A335" t="s">
        <v>461</v>
      </c>
      <c r="B335" t="s">
        <v>105</v>
      </c>
      <c r="C335" t="s">
        <v>106</v>
      </c>
      <c r="D335" t="s">
        <v>107</v>
      </c>
      <c r="E335" t="s">
        <v>101</v>
      </c>
      <c r="F335" t="s">
        <v>108</v>
      </c>
      <c r="G335" t="s">
        <v>109</v>
      </c>
      <c r="H335" s="1">
        <v>45777</v>
      </c>
      <c r="I335" s="1">
        <v>45780</v>
      </c>
      <c r="J335" s="86">
        <v>3.0190000000000001</v>
      </c>
      <c r="K335" s="88">
        <v>48323.76</v>
      </c>
      <c r="L335" s="88">
        <v>49440</v>
      </c>
      <c r="M335" s="1">
        <v>45906</v>
      </c>
      <c r="N335" s="1">
        <v>45977</v>
      </c>
      <c r="O335" s="86">
        <v>3.0190000000000001</v>
      </c>
      <c r="P335" t="s">
        <v>32</v>
      </c>
      <c r="Q335">
        <v>0</v>
      </c>
      <c r="R335">
        <v>1</v>
      </c>
      <c r="S335">
        <v>0</v>
      </c>
      <c r="T335" s="89">
        <v>197</v>
      </c>
      <c r="U335">
        <v>2025</v>
      </c>
      <c r="V335" s="90">
        <v>45778</v>
      </c>
      <c r="W335" s="87">
        <v>145889.43144000001</v>
      </c>
      <c r="X335" s="87">
        <v>149259.36000000002</v>
      </c>
      <c r="Y335" s="87">
        <v>-3369.9285599999939</v>
      </c>
    </row>
    <row r="336" spans="1:25">
      <c r="A336" t="s">
        <v>462</v>
      </c>
      <c r="B336" t="s">
        <v>26</v>
      </c>
      <c r="C336" t="s">
        <v>27</v>
      </c>
      <c r="D336" t="s">
        <v>28</v>
      </c>
      <c r="E336" t="s">
        <v>29</v>
      </c>
      <c r="F336" t="s">
        <v>30</v>
      </c>
      <c r="G336" t="s">
        <v>31</v>
      </c>
      <c r="H336" s="1">
        <v>45784</v>
      </c>
      <c r="I336" s="1">
        <v>45787</v>
      </c>
      <c r="J336" s="86">
        <v>23994.069</v>
      </c>
      <c r="K336" s="88">
        <v>102.91</v>
      </c>
      <c r="L336" s="88">
        <v>107.13</v>
      </c>
      <c r="M336" s="1">
        <v>45829</v>
      </c>
      <c r="N336" s="1">
        <v>45827</v>
      </c>
      <c r="O336" s="86">
        <v>23994.069</v>
      </c>
      <c r="P336" t="s">
        <v>32</v>
      </c>
      <c r="Q336">
        <v>1</v>
      </c>
      <c r="R336">
        <v>1</v>
      </c>
      <c r="S336">
        <v>1</v>
      </c>
      <c r="T336" s="89">
        <v>40</v>
      </c>
      <c r="U336">
        <v>2025</v>
      </c>
      <c r="V336" s="90">
        <v>45778</v>
      </c>
      <c r="W336" s="87">
        <v>2469229.6407900001</v>
      </c>
      <c r="X336" s="87">
        <v>2570484.61197</v>
      </c>
      <c r="Y336" s="87">
        <v>-101254.97117999996</v>
      </c>
    </row>
    <row r="337" spans="1:25">
      <c r="A337" t="s">
        <v>463</v>
      </c>
      <c r="B337" t="s">
        <v>76</v>
      </c>
      <c r="C337" t="s">
        <v>77</v>
      </c>
      <c r="D337" t="s">
        <v>78</v>
      </c>
      <c r="E337" t="s">
        <v>37</v>
      </c>
      <c r="F337" t="s">
        <v>44</v>
      </c>
      <c r="G337" t="s">
        <v>45</v>
      </c>
      <c r="H337" s="1">
        <v>45783</v>
      </c>
      <c r="I337" s="1">
        <v>45786</v>
      </c>
      <c r="J337" s="86">
        <v>14401.512000000001</v>
      </c>
      <c r="K337" s="88">
        <v>35.86</v>
      </c>
      <c r="L337" s="88">
        <v>39.14</v>
      </c>
      <c r="M337" s="1">
        <v>45821</v>
      </c>
      <c r="N337" s="1">
        <v>45823</v>
      </c>
      <c r="O337" s="86">
        <v>14401.512000000001</v>
      </c>
      <c r="P337" t="s">
        <v>32</v>
      </c>
      <c r="Q337">
        <v>0</v>
      </c>
      <c r="R337">
        <v>1</v>
      </c>
      <c r="S337">
        <v>0</v>
      </c>
      <c r="T337" s="89">
        <v>37</v>
      </c>
      <c r="U337">
        <v>2025</v>
      </c>
      <c r="V337" s="90">
        <v>45778</v>
      </c>
      <c r="W337" s="87">
        <v>516438.22032000002</v>
      </c>
      <c r="X337" s="87">
        <v>563675.17968000006</v>
      </c>
      <c r="Y337" s="87">
        <v>-47236.959360000015</v>
      </c>
    </row>
    <row r="338" spans="1:25">
      <c r="A338" t="s">
        <v>464</v>
      </c>
      <c r="B338" t="s">
        <v>92</v>
      </c>
      <c r="C338" t="s">
        <v>93</v>
      </c>
      <c r="D338" t="s">
        <v>94</v>
      </c>
      <c r="E338" t="s">
        <v>56</v>
      </c>
      <c r="F338" t="s">
        <v>95</v>
      </c>
      <c r="G338" t="s">
        <v>96</v>
      </c>
      <c r="H338" s="1">
        <v>45784</v>
      </c>
      <c r="I338" s="1">
        <v>45785</v>
      </c>
      <c r="J338" s="86">
        <v>95.983000000000004</v>
      </c>
      <c r="K338" s="88">
        <v>4111.18</v>
      </c>
      <c r="L338" s="88">
        <v>4017</v>
      </c>
      <c r="M338" s="1">
        <v>45855</v>
      </c>
      <c r="N338" s="1">
        <v>45853</v>
      </c>
      <c r="O338" s="86">
        <v>83.054000000000002</v>
      </c>
      <c r="P338" t="s">
        <v>32</v>
      </c>
      <c r="Q338">
        <v>1</v>
      </c>
      <c r="R338">
        <v>0</v>
      </c>
      <c r="S338">
        <v>0</v>
      </c>
      <c r="T338" s="89">
        <v>68</v>
      </c>
      <c r="U338">
        <v>2025</v>
      </c>
      <c r="V338" s="90">
        <v>45778</v>
      </c>
      <c r="W338" s="87">
        <v>341449.94372000004</v>
      </c>
      <c r="X338" s="87">
        <v>333627.91800000001</v>
      </c>
      <c r="Y338" s="87">
        <v>7822.0257200000242</v>
      </c>
    </row>
    <row r="339" spans="1:25">
      <c r="A339" t="s">
        <v>465</v>
      </c>
      <c r="B339" t="s">
        <v>98</v>
      </c>
      <c r="C339" t="s">
        <v>99</v>
      </c>
      <c r="D339" t="s">
        <v>100</v>
      </c>
      <c r="E339" t="s">
        <v>101</v>
      </c>
      <c r="F339" t="s">
        <v>102</v>
      </c>
      <c r="G339" t="s">
        <v>103</v>
      </c>
      <c r="H339" s="1">
        <v>45784</v>
      </c>
      <c r="I339" s="1">
        <v>45788</v>
      </c>
      <c r="J339" s="86">
        <v>18.222999999999999</v>
      </c>
      <c r="K339" s="88">
        <v>6263.16</v>
      </c>
      <c r="L339" s="88">
        <v>6386</v>
      </c>
      <c r="M339" s="1">
        <v>45837</v>
      </c>
      <c r="N339" s="1">
        <v>45839</v>
      </c>
      <c r="O339" s="86">
        <v>18.222999999999999</v>
      </c>
      <c r="P339" t="s">
        <v>32</v>
      </c>
      <c r="Q339">
        <v>0</v>
      </c>
      <c r="R339">
        <v>1</v>
      </c>
      <c r="S339">
        <v>0</v>
      </c>
      <c r="T339" s="89">
        <v>51</v>
      </c>
      <c r="U339">
        <v>2025</v>
      </c>
      <c r="V339" s="90">
        <v>45778</v>
      </c>
      <c r="W339" s="87">
        <v>114133.56468</v>
      </c>
      <c r="X339" s="87">
        <v>116372.07799999999</v>
      </c>
      <c r="Y339" s="87">
        <v>-2238.5133200000028</v>
      </c>
    </row>
    <row r="340" spans="1:25">
      <c r="A340" t="s">
        <v>466</v>
      </c>
      <c r="B340" t="s">
        <v>134</v>
      </c>
      <c r="C340" t="s">
        <v>135</v>
      </c>
      <c r="D340" t="s">
        <v>136</v>
      </c>
      <c r="E340" t="s">
        <v>101</v>
      </c>
      <c r="F340" t="s">
        <v>137</v>
      </c>
      <c r="G340" t="s">
        <v>138</v>
      </c>
      <c r="H340" s="1">
        <v>45782</v>
      </c>
      <c r="I340" s="1">
        <v>45785</v>
      </c>
      <c r="J340" s="86">
        <v>63040.12</v>
      </c>
      <c r="K340" s="88">
        <v>6.65</v>
      </c>
      <c r="L340" s="88">
        <v>6.7</v>
      </c>
      <c r="M340" s="1">
        <v>45841</v>
      </c>
      <c r="N340" s="1">
        <v>45840</v>
      </c>
      <c r="O340" s="86">
        <v>63040.12</v>
      </c>
      <c r="P340" t="s">
        <v>32</v>
      </c>
      <c r="Q340">
        <v>1</v>
      </c>
      <c r="R340">
        <v>1</v>
      </c>
      <c r="S340">
        <v>1</v>
      </c>
      <c r="T340" s="89">
        <v>55</v>
      </c>
      <c r="U340">
        <v>2025</v>
      </c>
      <c r="V340" s="90">
        <v>45778</v>
      </c>
      <c r="W340" s="87">
        <v>419216.79800000007</v>
      </c>
      <c r="X340" s="87">
        <v>422368.804</v>
      </c>
      <c r="Y340" s="87">
        <v>-3152.0059999999889</v>
      </c>
    </row>
    <row r="341" spans="1:25">
      <c r="A341" t="s">
        <v>467</v>
      </c>
      <c r="B341" t="s">
        <v>41</v>
      </c>
      <c r="C341" t="s">
        <v>42</v>
      </c>
      <c r="D341" t="s">
        <v>43</v>
      </c>
      <c r="E341" t="s">
        <v>37</v>
      </c>
      <c r="F341" t="s">
        <v>70</v>
      </c>
      <c r="G341" t="s">
        <v>71</v>
      </c>
      <c r="H341" s="1">
        <v>45789</v>
      </c>
      <c r="I341" s="1">
        <v>45793</v>
      </c>
      <c r="J341" s="86">
        <v>34563.915999999997</v>
      </c>
      <c r="K341" s="88">
        <v>8.9</v>
      </c>
      <c r="L341" s="88">
        <v>9.7799999999999994</v>
      </c>
      <c r="M341" s="1">
        <v>45814</v>
      </c>
      <c r="N341" s="1">
        <v>45813</v>
      </c>
      <c r="O341" s="86">
        <v>34563.915999999997</v>
      </c>
      <c r="P341" t="s">
        <v>32</v>
      </c>
      <c r="Q341">
        <v>1</v>
      </c>
      <c r="R341">
        <v>1</v>
      </c>
      <c r="S341">
        <v>1</v>
      </c>
      <c r="T341" s="89">
        <v>20</v>
      </c>
      <c r="U341">
        <v>2025</v>
      </c>
      <c r="V341" s="90">
        <v>45778</v>
      </c>
      <c r="W341" s="87">
        <v>307618.85239999997</v>
      </c>
      <c r="X341" s="87">
        <v>338035.09847999993</v>
      </c>
      <c r="Y341" s="87">
        <v>-30416.246079999964</v>
      </c>
    </row>
    <row r="342" spans="1:25">
      <c r="A342" t="s">
        <v>468</v>
      </c>
      <c r="B342" t="s">
        <v>73</v>
      </c>
      <c r="C342" t="s">
        <v>74</v>
      </c>
      <c r="D342" t="s">
        <v>43</v>
      </c>
      <c r="E342" t="s">
        <v>37</v>
      </c>
      <c r="F342" t="s">
        <v>70</v>
      </c>
      <c r="G342" t="s">
        <v>71</v>
      </c>
      <c r="H342" s="1">
        <v>45790</v>
      </c>
      <c r="I342" s="1">
        <v>45793</v>
      </c>
      <c r="J342" s="86">
        <v>48041.163</v>
      </c>
      <c r="K342" s="88">
        <v>6.75</v>
      </c>
      <c r="L342" s="88">
        <v>7</v>
      </c>
      <c r="M342" s="1">
        <v>45814</v>
      </c>
      <c r="N342" s="1">
        <v>45812</v>
      </c>
      <c r="O342" s="86">
        <v>48041.163</v>
      </c>
      <c r="P342" t="s">
        <v>32</v>
      </c>
      <c r="Q342">
        <v>1</v>
      </c>
      <c r="R342">
        <v>1</v>
      </c>
      <c r="S342">
        <v>1</v>
      </c>
      <c r="T342" s="89">
        <v>19</v>
      </c>
      <c r="U342">
        <v>2025</v>
      </c>
      <c r="V342" s="90">
        <v>45778</v>
      </c>
      <c r="W342" s="87">
        <v>324277.85025000002</v>
      </c>
      <c r="X342" s="87">
        <v>336288.141</v>
      </c>
      <c r="Y342" s="87">
        <v>-12010.29075</v>
      </c>
    </row>
    <row r="343" spans="1:25">
      <c r="A343" t="s">
        <v>469</v>
      </c>
      <c r="B343" t="s">
        <v>82</v>
      </c>
      <c r="C343" t="s">
        <v>83</v>
      </c>
      <c r="D343" t="s">
        <v>78</v>
      </c>
      <c r="E343" t="s">
        <v>84</v>
      </c>
      <c r="F343" t="s">
        <v>79</v>
      </c>
      <c r="G343" t="s">
        <v>80</v>
      </c>
      <c r="H343" s="1">
        <v>45791</v>
      </c>
      <c r="I343" s="1">
        <v>45794</v>
      </c>
      <c r="J343" s="86">
        <v>230.4</v>
      </c>
      <c r="K343" s="88">
        <v>531.91</v>
      </c>
      <c r="L343" s="88">
        <v>535.6</v>
      </c>
      <c r="M343" s="1">
        <v>45829</v>
      </c>
      <c r="N343" s="1">
        <v>45833</v>
      </c>
      <c r="O343" s="86">
        <v>230.4</v>
      </c>
      <c r="P343" t="s">
        <v>32</v>
      </c>
      <c r="Q343">
        <v>0</v>
      </c>
      <c r="R343">
        <v>1</v>
      </c>
      <c r="S343">
        <v>0</v>
      </c>
      <c r="T343" s="89">
        <v>39</v>
      </c>
      <c r="U343">
        <v>2025</v>
      </c>
      <c r="V343" s="90">
        <v>45778</v>
      </c>
      <c r="W343" s="87">
        <v>122552.064</v>
      </c>
      <c r="X343" s="87">
        <v>123402.24000000001</v>
      </c>
      <c r="Y343" s="87">
        <v>-850.17600000001255</v>
      </c>
    </row>
    <row r="344" spans="1:25">
      <c r="A344" t="s">
        <v>470</v>
      </c>
      <c r="B344" t="s">
        <v>47</v>
      </c>
      <c r="C344" t="s">
        <v>48</v>
      </c>
      <c r="D344" t="s">
        <v>49</v>
      </c>
      <c r="E344" t="s">
        <v>50</v>
      </c>
      <c r="F344" t="s">
        <v>51</v>
      </c>
      <c r="G344" t="s">
        <v>52</v>
      </c>
      <c r="H344" s="1">
        <v>45796</v>
      </c>
      <c r="I344" s="1">
        <v>45798</v>
      </c>
      <c r="J344" s="86">
        <v>143.50299999999999</v>
      </c>
      <c r="K344" s="88">
        <v>1952.99</v>
      </c>
      <c r="L344" s="88">
        <v>1905.5</v>
      </c>
      <c r="M344" s="1">
        <v>45854</v>
      </c>
      <c r="N344" s="1">
        <v>45852</v>
      </c>
      <c r="O344" s="86">
        <v>143.50299999999999</v>
      </c>
      <c r="P344" t="s">
        <v>32</v>
      </c>
      <c r="Q344">
        <v>1</v>
      </c>
      <c r="R344">
        <v>1</v>
      </c>
      <c r="S344">
        <v>1</v>
      </c>
      <c r="T344" s="89">
        <v>54</v>
      </c>
      <c r="U344">
        <v>2025</v>
      </c>
      <c r="V344" s="90">
        <v>45778</v>
      </c>
      <c r="W344" s="87">
        <v>280259.92396999995</v>
      </c>
      <c r="X344" s="87">
        <v>273444.96649999998</v>
      </c>
      <c r="Y344" s="87">
        <v>6814.9574700000003</v>
      </c>
    </row>
    <row r="345" spans="1:25">
      <c r="A345" t="s">
        <v>471</v>
      </c>
      <c r="B345" t="s">
        <v>60</v>
      </c>
      <c r="C345" t="s">
        <v>61</v>
      </c>
      <c r="D345" t="s">
        <v>49</v>
      </c>
      <c r="E345" t="s">
        <v>56</v>
      </c>
      <c r="F345" t="s">
        <v>57</v>
      </c>
      <c r="G345" t="s">
        <v>58</v>
      </c>
      <c r="H345" s="1">
        <v>45796</v>
      </c>
      <c r="I345" s="1">
        <v>45797</v>
      </c>
      <c r="J345" s="86">
        <v>1914.4580000000001</v>
      </c>
      <c r="K345" s="88">
        <v>407.47</v>
      </c>
      <c r="L345" s="88">
        <v>434.97</v>
      </c>
      <c r="M345" s="1">
        <v>45839</v>
      </c>
      <c r="N345" s="1">
        <v>45839</v>
      </c>
      <c r="O345" s="86">
        <v>1914.4580000000001</v>
      </c>
      <c r="P345" t="s">
        <v>32</v>
      </c>
      <c r="Q345">
        <v>1</v>
      </c>
      <c r="R345">
        <v>1</v>
      </c>
      <c r="S345">
        <v>1</v>
      </c>
      <c r="T345" s="89">
        <v>42</v>
      </c>
      <c r="U345">
        <v>2025</v>
      </c>
      <c r="V345" s="90">
        <v>45778</v>
      </c>
      <c r="W345" s="87">
        <v>780084.20126000012</v>
      </c>
      <c r="X345" s="87">
        <v>832731.79626000009</v>
      </c>
      <c r="Y345" s="87">
        <v>-52647.595000000001</v>
      </c>
    </row>
    <row r="346" spans="1:25">
      <c r="A346" t="s">
        <v>472</v>
      </c>
      <c r="B346" t="s">
        <v>86</v>
      </c>
      <c r="C346" t="s">
        <v>87</v>
      </c>
      <c r="D346" t="s">
        <v>88</v>
      </c>
      <c r="E346" t="s">
        <v>84</v>
      </c>
      <c r="F346" t="s">
        <v>89</v>
      </c>
      <c r="G346" t="s">
        <v>90</v>
      </c>
      <c r="H346" s="1">
        <v>45796</v>
      </c>
      <c r="I346" s="1">
        <v>45798</v>
      </c>
      <c r="J346" s="86">
        <v>14.385</v>
      </c>
      <c r="K346" s="88">
        <v>9588.42</v>
      </c>
      <c r="L346" s="88">
        <v>9980.7000000000007</v>
      </c>
      <c r="M346" s="1">
        <v>45861</v>
      </c>
      <c r="N346" s="1">
        <v>45858</v>
      </c>
      <c r="O346" s="86">
        <v>14.385</v>
      </c>
      <c r="P346" t="s">
        <v>32</v>
      </c>
      <c r="Q346">
        <v>1</v>
      </c>
      <c r="R346">
        <v>1</v>
      </c>
      <c r="S346">
        <v>1</v>
      </c>
      <c r="T346" s="89">
        <v>60</v>
      </c>
      <c r="U346">
        <v>2025</v>
      </c>
      <c r="V346" s="90">
        <v>45778</v>
      </c>
      <c r="W346" s="87">
        <v>137929.42170000001</v>
      </c>
      <c r="X346" s="87">
        <v>143572.3695</v>
      </c>
      <c r="Y346" s="87">
        <v>-5642.947800000009</v>
      </c>
    </row>
    <row r="347" spans="1:25">
      <c r="A347" t="s">
        <v>473</v>
      </c>
      <c r="B347" t="s">
        <v>54</v>
      </c>
      <c r="C347" t="s">
        <v>55</v>
      </c>
      <c r="D347" t="s">
        <v>49</v>
      </c>
      <c r="E347" t="s">
        <v>56</v>
      </c>
      <c r="F347" t="s">
        <v>65</v>
      </c>
      <c r="G347" t="s">
        <v>66</v>
      </c>
      <c r="H347" s="1">
        <v>45803</v>
      </c>
      <c r="I347" s="1">
        <v>45804</v>
      </c>
      <c r="J347" s="86">
        <v>21555</v>
      </c>
      <c r="K347" s="88">
        <v>27.18</v>
      </c>
      <c r="L347" s="88">
        <v>28.84</v>
      </c>
      <c r="M347" s="1">
        <v>45846</v>
      </c>
      <c r="N347" s="1">
        <v>45855</v>
      </c>
      <c r="O347" s="86">
        <v>21555</v>
      </c>
      <c r="P347" t="s">
        <v>32</v>
      </c>
      <c r="Q347">
        <v>0</v>
      </c>
      <c r="R347">
        <v>1</v>
      </c>
      <c r="S347">
        <v>0</v>
      </c>
      <c r="T347" s="89">
        <v>51</v>
      </c>
      <c r="U347">
        <v>2025</v>
      </c>
      <c r="V347" s="90">
        <v>45778</v>
      </c>
      <c r="W347" s="87">
        <v>585864.9</v>
      </c>
      <c r="X347" s="87">
        <v>621646.19999999995</v>
      </c>
      <c r="Y347" s="87">
        <v>-35781.300000000003</v>
      </c>
    </row>
    <row r="348" spans="1:25">
      <c r="A348" t="s">
        <v>474</v>
      </c>
      <c r="B348" t="s">
        <v>68</v>
      </c>
      <c r="C348" t="s">
        <v>69</v>
      </c>
      <c r="D348" t="s">
        <v>43</v>
      </c>
      <c r="E348" t="s">
        <v>37</v>
      </c>
      <c r="F348" t="s">
        <v>44</v>
      </c>
      <c r="G348" t="s">
        <v>45</v>
      </c>
      <c r="H348" s="1">
        <v>45803</v>
      </c>
      <c r="I348" s="1">
        <v>45806</v>
      </c>
      <c r="J348" s="86">
        <v>143704.69099999999</v>
      </c>
      <c r="K348" s="88">
        <v>4.0599999999999996</v>
      </c>
      <c r="L348" s="88">
        <v>4.17</v>
      </c>
      <c r="M348" s="1">
        <v>45827</v>
      </c>
      <c r="N348" s="1">
        <v>45826</v>
      </c>
      <c r="O348" s="86">
        <v>143704.69099999999</v>
      </c>
      <c r="P348" t="s">
        <v>32</v>
      </c>
      <c r="Q348">
        <v>1</v>
      </c>
      <c r="R348">
        <v>1</v>
      </c>
      <c r="S348">
        <v>1</v>
      </c>
      <c r="T348" s="89">
        <v>20</v>
      </c>
      <c r="U348">
        <v>2025</v>
      </c>
      <c r="V348" s="90">
        <v>45778</v>
      </c>
      <c r="W348" s="87">
        <v>583441.04545999994</v>
      </c>
      <c r="X348" s="87">
        <v>599248.56146999996</v>
      </c>
      <c r="Y348" s="87">
        <v>-15807.516010000045</v>
      </c>
    </row>
    <row r="349" spans="1:25">
      <c r="A349" t="s">
        <v>475</v>
      </c>
      <c r="B349" t="s">
        <v>111</v>
      </c>
      <c r="C349" t="s">
        <v>112</v>
      </c>
      <c r="D349" t="s">
        <v>113</v>
      </c>
      <c r="E349" t="s">
        <v>84</v>
      </c>
      <c r="F349" t="s">
        <v>114</v>
      </c>
      <c r="G349" t="s">
        <v>115</v>
      </c>
      <c r="H349" s="1">
        <v>45804</v>
      </c>
      <c r="I349" s="1">
        <v>45807</v>
      </c>
      <c r="J349" s="86">
        <v>21654680.019000001</v>
      </c>
      <c r="K349" s="88">
        <v>9.7600000000000006E-2</v>
      </c>
      <c r="L349" s="88">
        <v>0.1133</v>
      </c>
      <c r="M349" s="1">
        <v>45877</v>
      </c>
      <c r="N349" s="1">
        <v>45886</v>
      </c>
      <c r="O349" s="86">
        <v>21654680.019000001</v>
      </c>
      <c r="P349" t="s">
        <v>32</v>
      </c>
      <c r="Q349">
        <v>0</v>
      </c>
      <c r="R349">
        <v>1</v>
      </c>
      <c r="S349">
        <v>0</v>
      </c>
      <c r="T349" s="89">
        <v>79</v>
      </c>
      <c r="U349">
        <v>2025</v>
      </c>
      <c r="V349" s="90">
        <v>45778</v>
      </c>
      <c r="W349" s="87">
        <v>2113496.7698544003</v>
      </c>
      <c r="X349" s="87">
        <v>2453475.2461526999</v>
      </c>
      <c r="Y349" s="87">
        <v>-339978.47629829985</v>
      </c>
    </row>
    <row r="350" spans="1:25">
      <c r="A350" t="s">
        <v>476</v>
      </c>
      <c r="B350" t="s">
        <v>117</v>
      </c>
      <c r="C350" t="s">
        <v>118</v>
      </c>
      <c r="D350" t="s">
        <v>119</v>
      </c>
      <c r="E350" t="s">
        <v>120</v>
      </c>
      <c r="F350" t="s">
        <v>137</v>
      </c>
      <c r="G350" t="s">
        <v>138</v>
      </c>
      <c r="H350" s="1">
        <v>45804</v>
      </c>
      <c r="I350" s="1">
        <v>45805</v>
      </c>
      <c r="J350" s="86">
        <v>13414147.168</v>
      </c>
      <c r="K350" s="88">
        <v>4.0000000000000001E-3</v>
      </c>
      <c r="L350" s="88">
        <v>4.1000000000000003E-3</v>
      </c>
      <c r="M350" s="1">
        <v>45840</v>
      </c>
      <c r="N350" s="1">
        <v>45837</v>
      </c>
      <c r="O350" s="86">
        <v>13414147.168</v>
      </c>
      <c r="P350" t="s">
        <v>32</v>
      </c>
      <c r="Q350">
        <v>1</v>
      </c>
      <c r="R350">
        <v>1</v>
      </c>
      <c r="S350">
        <v>1</v>
      </c>
      <c r="T350" s="89">
        <v>32</v>
      </c>
      <c r="U350">
        <v>2025</v>
      </c>
      <c r="V350" s="90">
        <v>45778</v>
      </c>
      <c r="W350" s="87">
        <v>53656.588671999998</v>
      </c>
      <c r="X350" s="87">
        <v>54998.003388800003</v>
      </c>
      <c r="Y350" s="87">
        <v>-1341.4147168000036</v>
      </c>
    </row>
    <row r="351" spans="1:25">
      <c r="A351" t="s">
        <v>477</v>
      </c>
      <c r="B351" t="s">
        <v>124</v>
      </c>
      <c r="C351" t="s">
        <v>125</v>
      </c>
      <c r="D351" t="s">
        <v>119</v>
      </c>
      <c r="E351" t="s">
        <v>126</v>
      </c>
      <c r="F351" t="s">
        <v>121</v>
      </c>
      <c r="G351" t="s">
        <v>122</v>
      </c>
      <c r="H351" s="1">
        <v>45803</v>
      </c>
      <c r="I351" s="1">
        <v>45806</v>
      </c>
      <c r="J351" s="86">
        <v>7825694.1430000002</v>
      </c>
      <c r="K351" s="88">
        <v>2.0199999999999999E-2</v>
      </c>
      <c r="L351" s="88">
        <v>2.06E-2</v>
      </c>
      <c r="M351" s="1">
        <v>45841</v>
      </c>
      <c r="N351" s="1">
        <v>45838</v>
      </c>
      <c r="O351" s="86">
        <v>7825694.1430000002</v>
      </c>
      <c r="P351" t="s">
        <v>32</v>
      </c>
      <c r="Q351">
        <v>1</v>
      </c>
      <c r="R351">
        <v>1</v>
      </c>
      <c r="S351">
        <v>1</v>
      </c>
      <c r="T351" s="89">
        <v>32</v>
      </c>
      <c r="U351">
        <v>2025</v>
      </c>
      <c r="V351" s="90">
        <v>45778</v>
      </c>
      <c r="W351" s="87">
        <v>158079.02168859998</v>
      </c>
      <c r="X351" s="87">
        <v>161209.29934580001</v>
      </c>
      <c r="Y351" s="87">
        <v>-3130.2776572000084</v>
      </c>
    </row>
    <row r="352" spans="1:25">
      <c r="A352" t="s">
        <v>478</v>
      </c>
      <c r="B352" t="s">
        <v>134</v>
      </c>
      <c r="C352" t="s">
        <v>135</v>
      </c>
      <c r="D352" t="s">
        <v>136</v>
      </c>
      <c r="E352" t="s">
        <v>101</v>
      </c>
      <c r="F352" t="s">
        <v>137</v>
      </c>
      <c r="G352" t="s">
        <v>138</v>
      </c>
      <c r="H352" s="1">
        <v>45803</v>
      </c>
      <c r="I352" s="1">
        <v>45804</v>
      </c>
      <c r="J352" s="86">
        <v>60888.012999999999</v>
      </c>
      <c r="K352" s="88">
        <v>6.41</v>
      </c>
      <c r="L352" s="88">
        <v>6.7</v>
      </c>
      <c r="M352" s="1">
        <v>45860</v>
      </c>
      <c r="N352" s="1">
        <v>45859</v>
      </c>
      <c r="O352" s="86">
        <v>60888.012999999999</v>
      </c>
      <c r="P352" t="s">
        <v>32</v>
      </c>
      <c r="Q352">
        <v>1</v>
      </c>
      <c r="R352">
        <v>1</v>
      </c>
      <c r="S352">
        <v>1</v>
      </c>
      <c r="T352" s="89">
        <v>55</v>
      </c>
      <c r="U352">
        <v>2025</v>
      </c>
      <c r="V352" s="90">
        <v>45778</v>
      </c>
      <c r="W352" s="87">
        <v>390292.16333000001</v>
      </c>
      <c r="X352" s="87">
        <v>407949.68709999998</v>
      </c>
      <c r="Y352" s="87">
        <v>-17657.523770000003</v>
      </c>
    </row>
    <row r="353" spans="1:25">
      <c r="A353" t="s">
        <v>479</v>
      </c>
      <c r="B353" t="s">
        <v>140</v>
      </c>
      <c r="C353" t="s">
        <v>141</v>
      </c>
      <c r="D353" t="s">
        <v>142</v>
      </c>
      <c r="E353" t="s">
        <v>84</v>
      </c>
      <c r="F353" t="s">
        <v>121</v>
      </c>
      <c r="G353" t="s">
        <v>122</v>
      </c>
      <c r="H353" s="1">
        <v>45804</v>
      </c>
      <c r="I353" s="1">
        <v>45806</v>
      </c>
      <c r="J353" s="86">
        <v>22463747.852000002</v>
      </c>
      <c r="K353" s="88">
        <v>1.0999999999999999E-2</v>
      </c>
      <c r="L353" s="88">
        <v>1.24E-2</v>
      </c>
      <c r="M353" s="1">
        <v>45820</v>
      </c>
      <c r="N353" s="1">
        <v>45817</v>
      </c>
      <c r="O353" s="86">
        <v>22463747.852000002</v>
      </c>
      <c r="P353" t="s">
        <v>32</v>
      </c>
      <c r="Q353">
        <v>1</v>
      </c>
      <c r="R353">
        <v>1</v>
      </c>
      <c r="S353">
        <v>1</v>
      </c>
      <c r="T353" s="89">
        <v>11</v>
      </c>
      <c r="U353">
        <v>2025</v>
      </c>
      <c r="V353" s="90">
        <v>45778</v>
      </c>
      <c r="W353" s="87">
        <v>247101.226372</v>
      </c>
      <c r="X353" s="87">
        <v>278550.47336480004</v>
      </c>
      <c r="Y353" s="87">
        <v>-31449.246992800006</v>
      </c>
    </row>
    <row r="354" spans="1:25">
      <c r="A354" t="s">
        <v>480</v>
      </c>
      <c r="B354" t="s">
        <v>63</v>
      </c>
      <c r="C354" t="s">
        <v>64</v>
      </c>
      <c r="D354" t="s">
        <v>49</v>
      </c>
      <c r="E354" t="s">
        <v>56</v>
      </c>
      <c r="F354" t="s">
        <v>65</v>
      </c>
      <c r="G354" t="s">
        <v>66</v>
      </c>
      <c r="H354" s="1">
        <v>45811</v>
      </c>
      <c r="I354" s="1">
        <v>45813</v>
      </c>
      <c r="J354" s="86">
        <v>2873.9720000000002</v>
      </c>
      <c r="K354" s="88">
        <v>159.15</v>
      </c>
      <c r="L354" s="88">
        <v>164.8</v>
      </c>
      <c r="M354" s="1">
        <v>45841</v>
      </c>
      <c r="N354" s="1">
        <v>45839</v>
      </c>
      <c r="O354" s="86">
        <v>2873.9720000000002</v>
      </c>
      <c r="P354" t="s">
        <v>32</v>
      </c>
      <c r="Q354">
        <v>1</v>
      </c>
      <c r="R354">
        <v>1</v>
      </c>
      <c r="S354">
        <v>1</v>
      </c>
      <c r="T354" s="89">
        <v>26</v>
      </c>
      <c r="U354">
        <v>2025</v>
      </c>
      <c r="V354" s="90">
        <v>45809</v>
      </c>
      <c r="W354" s="87">
        <v>457392.64380000008</v>
      </c>
      <c r="X354" s="87">
        <v>473630.58560000005</v>
      </c>
      <c r="Y354" s="87">
        <v>-16237.941800000017</v>
      </c>
    </row>
    <row r="355" spans="1:25">
      <c r="A355" t="s">
        <v>481</v>
      </c>
      <c r="B355" t="s">
        <v>128</v>
      </c>
      <c r="C355" t="s">
        <v>129</v>
      </c>
      <c r="D355" t="s">
        <v>130</v>
      </c>
      <c r="E355" t="s">
        <v>84</v>
      </c>
      <c r="F355" t="s">
        <v>131</v>
      </c>
      <c r="G355" t="s">
        <v>132</v>
      </c>
      <c r="H355" s="1">
        <v>45810</v>
      </c>
      <c r="I355" s="1">
        <v>45812</v>
      </c>
      <c r="J355" s="86">
        <v>1.1930000000000001</v>
      </c>
      <c r="K355" s="88">
        <v>63830.11</v>
      </c>
      <c r="L355" s="88">
        <v>66950</v>
      </c>
      <c r="M355" s="1">
        <v>45882</v>
      </c>
      <c r="N355" s="1">
        <v>45880</v>
      </c>
      <c r="O355" s="86">
        <v>1.1930000000000001</v>
      </c>
      <c r="P355" t="s">
        <v>32</v>
      </c>
      <c r="Q355">
        <v>1</v>
      </c>
      <c r="R355">
        <v>1</v>
      </c>
      <c r="S355">
        <v>1</v>
      </c>
      <c r="T355" s="89">
        <v>68</v>
      </c>
      <c r="U355">
        <v>2025</v>
      </c>
      <c r="V355" s="90">
        <v>45809</v>
      </c>
      <c r="W355" s="87">
        <v>76149.321230000001</v>
      </c>
      <c r="X355" s="87">
        <v>79871.350000000006</v>
      </c>
      <c r="Y355" s="87">
        <v>-3722.0287699999994</v>
      </c>
    </row>
    <row r="356" spans="1:25">
      <c r="A356" t="s">
        <v>482</v>
      </c>
      <c r="B356" t="s">
        <v>26</v>
      </c>
      <c r="C356" t="s">
        <v>27</v>
      </c>
      <c r="D356" t="s">
        <v>28</v>
      </c>
      <c r="E356" t="s">
        <v>29</v>
      </c>
      <c r="F356" t="s">
        <v>149</v>
      </c>
      <c r="G356" t="s">
        <v>150</v>
      </c>
      <c r="H356" s="1">
        <v>45819</v>
      </c>
      <c r="I356" s="1">
        <v>45820</v>
      </c>
      <c r="J356" s="86">
        <v>23923.241999999998</v>
      </c>
      <c r="K356" s="88">
        <v>103.61</v>
      </c>
      <c r="L356" s="88">
        <v>107.13</v>
      </c>
      <c r="M356" s="1">
        <v>45862</v>
      </c>
      <c r="N356" s="1">
        <v>45860</v>
      </c>
      <c r="O356" s="86">
        <v>23923.241999999998</v>
      </c>
      <c r="P356" t="s">
        <v>32</v>
      </c>
      <c r="Q356">
        <v>1</v>
      </c>
      <c r="R356">
        <v>1</v>
      </c>
      <c r="S356">
        <v>1</v>
      </c>
      <c r="T356" s="89">
        <v>40</v>
      </c>
      <c r="U356">
        <v>2025</v>
      </c>
      <c r="V356" s="90">
        <v>45809</v>
      </c>
      <c r="W356" s="87">
        <v>2478687.1036199997</v>
      </c>
      <c r="X356" s="87">
        <v>2562896.9154599998</v>
      </c>
      <c r="Y356" s="87">
        <v>-84209.811839999893</v>
      </c>
    </row>
    <row r="357" spans="1:25">
      <c r="A357" t="s">
        <v>483</v>
      </c>
      <c r="B357" t="s">
        <v>76</v>
      </c>
      <c r="C357" t="s">
        <v>77</v>
      </c>
      <c r="D357" t="s">
        <v>78</v>
      </c>
      <c r="E357" t="s">
        <v>37</v>
      </c>
      <c r="F357" t="s">
        <v>44</v>
      </c>
      <c r="G357" t="s">
        <v>45</v>
      </c>
      <c r="H357" s="1">
        <v>45818</v>
      </c>
      <c r="I357" s="1">
        <v>45822</v>
      </c>
      <c r="J357" s="86">
        <v>14340.54</v>
      </c>
      <c r="K357" s="88">
        <v>35.729999999999997</v>
      </c>
      <c r="L357" s="88">
        <v>39.14</v>
      </c>
      <c r="M357" s="1">
        <v>45857</v>
      </c>
      <c r="N357" s="1">
        <v>45856</v>
      </c>
      <c r="O357" s="86">
        <v>14340.54</v>
      </c>
      <c r="P357" t="s">
        <v>32</v>
      </c>
      <c r="Q357">
        <v>1</v>
      </c>
      <c r="R357">
        <v>1</v>
      </c>
      <c r="S357">
        <v>1</v>
      </c>
      <c r="T357" s="89">
        <v>34</v>
      </c>
      <c r="U357">
        <v>2025</v>
      </c>
      <c r="V357" s="90">
        <v>45809</v>
      </c>
      <c r="W357" s="87">
        <v>512387.49419999996</v>
      </c>
      <c r="X357" s="87">
        <v>561288.73560000001</v>
      </c>
      <c r="Y357" s="87">
        <v>-48901.241400000057</v>
      </c>
    </row>
    <row r="358" spans="1:25">
      <c r="A358" t="s">
        <v>484</v>
      </c>
      <c r="B358" t="s">
        <v>92</v>
      </c>
      <c r="C358" t="s">
        <v>93</v>
      </c>
      <c r="D358" t="s">
        <v>94</v>
      </c>
      <c r="E358" t="s">
        <v>56</v>
      </c>
      <c r="F358" t="s">
        <v>95</v>
      </c>
      <c r="G358" t="s">
        <v>96</v>
      </c>
      <c r="H358" s="1">
        <v>45818</v>
      </c>
      <c r="I358" s="1">
        <v>45819</v>
      </c>
      <c r="J358" s="86">
        <v>95.906999999999996</v>
      </c>
      <c r="K358" s="88">
        <v>4037.99</v>
      </c>
      <c r="L358" s="88">
        <v>4017</v>
      </c>
      <c r="M358" s="1">
        <v>45889</v>
      </c>
      <c r="N358" s="1">
        <v>45887</v>
      </c>
      <c r="O358" s="86">
        <v>95.906999999999996</v>
      </c>
      <c r="P358" t="s">
        <v>32</v>
      </c>
      <c r="Q358">
        <v>1</v>
      </c>
      <c r="R358">
        <v>1</v>
      </c>
      <c r="S358">
        <v>1</v>
      </c>
      <c r="T358" s="89">
        <v>68</v>
      </c>
      <c r="U358">
        <v>2025</v>
      </c>
      <c r="V358" s="90">
        <v>45809</v>
      </c>
      <c r="W358" s="87">
        <v>387271.50692999997</v>
      </c>
      <c r="X358" s="87">
        <v>385258.41899999999</v>
      </c>
      <c r="Y358" s="87">
        <v>2013.087929999979</v>
      </c>
    </row>
    <row r="359" spans="1:25">
      <c r="A359" t="s">
        <v>485</v>
      </c>
      <c r="B359" t="s">
        <v>98</v>
      </c>
      <c r="C359" t="s">
        <v>99</v>
      </c>
      <c r="D359" t="s">
        <v>100</v>
      </c>
      <c r="E359" t="s">
        <v>101</v>
      </c>
      <c r="F359" t="s">
        <v>102</v>
      </c>
      <c r="G359" t="s">
        <v>103</v>
      </c>
      <c r="H359" s="1">
        <v>45817</v>
      </c>
      <c r="I359" s="1">
        <v>45818</v>
      </c>
      <c r="J359" s="86">
        <v>19.12</v>
      </c>
      <c r="K359" s="88">
        <v>5944.36</v>
      </c>
      <c r="L359" s="88">
        <v>6386</v>
      </c>
      <c r="M359" s="1">
        <v>45867</v>
      </c>
      <c r="N359" s="1">
        <v>45865</v>
      </c>
      <c r="O359" s="86">
        <v>19.12</v>
      </c>
      <c r="P359" t="s">
        <v>32</v>
      </c>
      <c r="Q359">
        <v>1</v>
      </c>
      <c r="R359">
        <v>1</v>
      </c>
      <c r="S359">
        <v>1</v>
      </c>
      <c r="T359" s="89">
        <v>47</v>
      </c>
      <c r="U359">
        <v>2025</v>
      </c>
      <c r="V359" s="90">
        <v>45809</v>
      </c>
      <c r="W359" s="87">
        <v>113656.1632</v>
      </c>
      <c r="X359" s="87">
        <v>122100.32</v>
      </c>
      <c r="Y359" s="87">
        <v>-8444.1568000000061</v>
      </c>
    </row>
    <row r="360" spans="1:25">
      <c r="A360" t="s">
        <v>486</v>
      </c>
      <c r="B360" t="s">
        <v>41</v>
      </c>
      <c r="C360" t="s">
        <v>42</v>
      </c>
      <c r="D360" t="s">
        <v>43</v>
      </c>
      <c r="E360" t="s">
        <v>37</v>
      </c>
      <c r="F360" t="s">
        <v>70</v>
      </c>
      <c r="G360" t="s">
        <v>71</v>
      </c>
      <c r="H360" s="1">
        <v>45824</v>
      </c>
      <c r="I360" s="1">
        <v>45825</v>
      </c>
      <c r="J360" s="86">
        <v>43040.428</v>
      </c>
      <c r="K360" s="88">
        <v>8.84</v>
      </c>
      <c r="L360" s="88">
        <v>9.7799999999999994</v>
      </c>
      <c r="M360" s="1">
        <v>45846</v>
      </c>
      <c r="N360" s="1">
        <v>45845</v>
      </c>
      <c r="O360" s="86">
        <v>43040.428</v>
      </c>
      <c r="P360" t="s">
        <v>32</v>
      </c>
      <c r="Q360">
        <v>1</v>
      </c>
      <c r="R360">
        <v>1</v>
      </c>
      <c r="S360">
        <v>1</v>
      </c>
      <c r="T360" s="89">
        <v>20</v>
      </c>
      <c r="U360">
        <v>2025</v>
      </c>
      <c r="V360" s="90">
        <v>45809</v>
      </c>
      <c r="W360" s="87">
        <v>380477.38351999997</v>
      </c>
      <c r="X360" s="87">
        <v>420935.38583999994</v>
      </c>
      <c r="Y360" s="87">
        <v>-40458.002319999978</v>
      </c>
    </row>
    <row r="361" spans="1:25">
      <c r="A361" t="s">
        <v>487</v>
      </c>
      <c r="B361" t="s">
        <v>73</v>
      </c>
      <c r="C361" t="s">
        <v>74</v>
      </c>
      <c r="D361" t="s">
        <v>43</v>
      </c>
      <c r="E361" t="s">
        <v>37</v>
      </c>
      <c r="F361" t="s">
        <v>70</v>
      </c>
      <c r="G361" t="s">
        <v>71</v>
      </c>
      <c r="H361" s="1">
        <v>45825</v>
      </c>
      <c r="I361" s="1">
        <v>45827</v>
      </c>
      <c r="J361" s="86">
        <v>59759.921999999999</v>
      </c>
      <c r="K361" s="88">
        <v>6.66</v>
      </c>
      <c r="L361" s="88">
        <v>7</v>
      </c>
      <c r="M361" s="1">
        <v>45848</v>
      </c>
      <c r="N361" s="1">
        <v>45845</v>
      </c>
      <c r="O361" s="86">
        <v>59759.921999999999</v>
      </c>
      <c r="P361" t="s">
        <v>32</v>
      </c>
      <c r="Q361">
        <v>1</v>
      </c>
      <c r="R361">
        <v>1</v>
      </c>
      <c r="S361">
        <v>1</v>
      </c>
      <c r="T361" s="89">
        <v>18</v>
      </c>
      <c r="U361">
        <v>2025</v>
      </c>
      <c r="V361" s="90">
        <v>45809</v>
      </c>
      <c r="W361" s="87">
        <v>398001.08052000002</v>
      </c>
      <c r="X361" s="87">
        <v>418319.45399999997</v>
      </c>
      <c r="Y361" s="87">
        <v>-20318.373479999991</v>
      </c>
    </row>
    <row r="362" spans="1:25">
      <c r="A362" t="s">
        <v>488</v>
      </c>
      <c r="B362" t="s">
        <v>82</v>
      </c>
      <c r="C362" t="s">
        <v>83</v>
      </c>
      <c r="D362" t="s">
        <v>78</v>
      </c>
      <c r="E362" t="s">
        <v>84</v>
      </c>
      <c r="F362" t="s">
        <v>79</v>
      </c>
      <c r="G362" t="s">
        <v>80</v>
      </c>
      <c r="H362" s="1">
        <v>45825</v>
      </c>
      <c r="I362" s="1">
        <v>45827</v>
      </c>
      <c r="J362" s="86">
        <v>287.46499999999997</v>
      </c>
      <c r="K362" s="88">
        <v>533.16</v>
      </c>
      <c r="L362" s="88">
        <v>535.6</v>
      </c>
      <c r="M362" s="1">
        <v>45862</v>
      </c>
      <c r="N362" s="1">
        <v>45860</v>
      </c>
      <c r="O362" s="86">
        <v>287.46499999999997</v>
      </c>
      <c r="P362" t="s">
        <v>32</v>
      </c>
      <c r="Q362">
        <v>1</v>
      </c>
      <c r="R362">
        <v>1</v>
      </c>
      <c r="S362">
        <v>1</v>
      </c>
      <c r="T362" s="89">
        <v>33</v>
      </c>
      <c r="U362">
        <v>2025</v>
      </c>
      <c r="V362" s="90">
        <v>45809</v>
      </c>
      <c r="W362" s="87">
        <v>153264.83939999997</v>
      </c>
      <c r="X362" s="87">
        <v>153966.25399999999</v>
      </c>
      <c r="Y362" s="87">
        <v>-701.41460000001564</v>
      </c>
    </row>
    <row r="363" spans="1:25">
      <c r="A363" t="s">
        <v>489</v>
      </c>
      <c r="B363" t="s">
        <v>134</v>
      </c>
      <c r="C363" t="s">
        <v>135</v>
      </c>
      <c r="D363" t="s">
        <v>136</v>
      </c>
      <c r="E363" t="s">
        <v>101</v>
      </c>
      <c r="F363" t="s">
        <v>137</v>
      </c>
      <c r="G363" t="s">
        <v>138</v>
      </c>
      <c r="H363" s="1">
        <v>45825</v>
      </c>
      <c r="I363" s="1">
        <v>45828</v>
      </c>
      <c r="J363" s="86">
        <v>56303.362999999998</v>
      </c>
      <c r="K363" s="88">
        <v>6.41</v>
      </c>
      <c r="L363" s="88">
        <v>6.7</v>
      </c>
      <c r="M363" s="1">
        <v>45884</v>
      </c>
      <c r="N363" s="1">
        <v>45881</v>
      </c>
      <c r="O363" s="86">
        <v>56303.362999999998</v>
      </c>
      <c r="P363" t="s">
        <v>32</v>
      </c>
      <c r="Q363">
        <v>1</v>
      </c>
      <c r="R363">
        <v>1</v>
      </c>
      <c r="S363">
        <v>1</v>
      </c>
      <c r="T363" s="89">
        <v>53</v>
      </c>
      <c r="U363">
        <v>2025</v>
      </c>
      <c r="V363" s="90">
        <v>45809</v>
      </c>
      <c r="W363" s="87">
        <v>360904.55683000002</v>
      </c>
      <c r="X363" s="87">
        <v>377232.53210000001</v>
      </c>
      <c r="Y363" s="87">
        <v>-16327.975270000001</v>
      </c>
    </row>
    <row r="364" spans="1:25">
      <c r="A364" t="s">
        <v>490</v>
      </c>
      <c r="B364" t="s">
        <v>60</v>
      </c>
      <c r="C364" t="s">
        <v>61</v>
      </c>
      <c r="D364" t="s">
        <v>49</v>
      </c>
      <c r="E364" t="s">
        <v>56</v>
      </c>
      <c r="F364" t="s">
        <v>57</v>
      </c>
      <c r="G364" t="s">
        <v>58</v>
      </c>
      <c r="H364" s="1">
        <v>45833</v>
      </c>
      <c r="I364" s="1">
        <v>45835</v>
      </c>
      <c r="J364" s="86">
        <v>1750.481</v>
      </c>
      <c r="K364" s="88">
        <v>423.31</v>
      </c>
      <c r="L364" s="88">
        <v>434.97</v>
      </c>
      <c r="M364" s="1">
        <v>45877</v>
      </c>
      <c r="N364" s="1">
        <v>45876</v>
      </c>
      <c r="O364" s="86">
        <v>1750.481</v>
      </c>
      <c r="P364" t="s">
        <v>32</v>
      </c>
      <c r="Q364">
        <v>1</v>
      </c>
      <c r="R364">
        <v>1</v>
      </c>
      <c r="S364">
        <v>1</v>
      </c>
      <c r="T364" s="89">
        <v>41</v>
      </c>
      <c r="U364">
        <v>2025</v>
      </c>
      <c r="V364" s="90">
        <v>45809</v>
      </c>
      <c r="W364" s="87">
        <v>740996.11210999999</v>
      </c>
      <c r="X364" s="87">
        <v>761406.72057</v>
      </c>
      <c r="Y364" s="87">
        <v>-20410.608460000043</v>
      </c>
    </row>
    <row r="365" spans="1:25">
      <c r="A365" t="s">
        <v>491</v>
      </c>
      <c r="B365" t="s">
        <v>86</v>
      </c>
      <c r="C365" t="s">
        <v>87</v>
      </c>
      <c r="D365" t="s">
        <v>88</v>
      </c>
      <c r="E365" t="s">
        <v>84</v>
      </c>
      <c r="F365" t="s">
        <v>89</v>
      </c>
      <c r="G365" t="s">
        <v>90</v>
      </c>
      <c r="H365" s="1">
        <v>45833</v>
      </c>
      <c r="I365" s="1">
        <v>45835</v>
      </c>
      <c r="J365" s="86">
        <v>14.31</v>
      </c>
      <c r="K365" s="88">
        <v>9771.7099999999991</v>
      </c>
      <c r="L365" s="88">
        <v>9980.7000000000007</v>
      </c>
      <c r="M365" s="1">
        <v>45898</v>
      </c>
      <c r="N365" s="1">
        <v>45898</v>
      </c>
      <c r="O365" s="86">
        <v>14.31</v>
      </c>
      <c r="P365" t="s">
        <v>32</v>
      </c>
      <c r="Q365">
        <v>1</v>
      </c>
      <c r="R365">
        <v>1</v>
      </c>
      <c r="S365">
        <v>1</v>
      </c>
      <c r="T365" s="89">
        <v>63</v>
      </c>
      <c r="U365">
        <v>2025</v>
      </c>
      <c r="V365" s="90">
        <v>45809</v>
      </c>
      <c r="W365" s="87">
        <v>139833.17009999999</v>
      </c>
      <c r="X365" s="87">
        <v>142823.81700000001</v>
      </c>
      <c r="Y365" s="87">
        <v>-2990.6469000000229</v>
      </c>
    </row>
    <row r="366" spans="1:25">
      <c r="A366" t="s">
        <v>492</v>
      </c>
      <c r="B366" t="s">
        <v>105</v>
      </c>
      <c r="C366" t="s">
        <v>106</v>
      </c>
      <c r="D366" t="s">
        <v>107</v>
      </c>
      <c r="E366" t="s">
        <v>101</v>
      </c>
      <c r="F366" t="s">
        <v>108</v>
      </c>
      <c r="G366" t="s">
        <v>109</v>
      </c>
      <c r="H366" s="1">
        <v>45833</v>
      </c>
      <c r="I366" s="1">
        <v>45834</v>
      </c>
      <c r="J366" s="86">
        <v>3.9820000000000002</v>
      </c>
      <c r="K366" s="88">
        <v>47320.47</v>
      </c>
      <c r="L366" s="88">
        <v>49440</v>
      </c>
      <c r="M366" s="1">
        <v>45960</v>
      </c>
      <c r="N366" s="1">
        <v>45960</v>
      </c>
      <c r="O366" s="86">
        <v>3.9820000000000002</v>
      </c>
      <c r="P366" t="s">
        <v>32</v>
      </c>
      <c r="Q366">
        <v>1</v>
      </c>
      <c r="R366">
        <v>1</v>
      </c>
      <c r="S366">
        <v>1</v>
      </c>
      <c r="T366" s="89">
        <v>126</v>
      </c>
      <c r="U366">
        <v>2025</v>
      </c>
      <c r="V366" s="90">
        <v>45809</v>
      </c>
      <c r="W366" s="87">
        <v>188430.11154000001</v>
      </c>
      <c r="X366" s="87">
        <v>196870.08000000002</v>
      </c>
      <c r="Y366" s="87">
        <v>-8439.9684599999964</v>
      </c>
    </row>
    <row r="367" spans="1:25">
      <c r="A367" t="s">
        <v>493</v>
      </c>
      <c r="B367" t="s">
        <v>47</v>
      </c>
      <c r="C367" t="s">
        <v>48</v>
      </c>
      <c r="D367" t="s">
        <v>49</v>
      </c>
      <c r="E367" t="s">
        <v>50</v>
      </c>
      <c r="F367" t="s">
        <v>51</v>
      </c>
      <c r="G367" t="s">
        <v>52</v>
      </c>
      <c r="H367" s="1">
        <v>45840</v>
      </c>
      <c r="I367" s="1">
        <v>45842</v>
      </c>
      <c r="J367" s="86">
        <v>126.215</v>
      </c>
      <c r="K367" s="88">
        <v>1941.53</v>
      </c>
      <c r="L367" s="88">
        <v>1905.5</v>
      </c>
      <c r="M367" s="1">
        <v>45898</v>
      </c>
      <c r="N367" s="1">
        <v>45897</v>
      </c>
      <c r="O367" s="86">
        <v>126.215</v>
      </c>
      <c r="P367" t="s">
        <v>32</v>
      </c>
      <c r="Q367">
        <v>1</v>
      </c>
      <c r="R367">
        <v>1</v>
      </c>
      <c r="S367">
        <v>1</v>
      </c>
      <c r="T367" s="89">
        <v>55</v>
      </c>
      <c r="U367">
        <v>2025</v>
      </c>
      <c r="V367" s="90">
        <v>45839</v>
      </c>
      <c r="W367" s="87">
        <v>245050.20895</v>
      </c>
      <c r="X367" s="87">
        <v>240502.6825</v>
      </c>
      <c r="Y367" s="87">
        <v>4547.5264499999967</v>
      </c>
    </row>
    <row r="368" spans="1:25">
      <c r="A368" t="s">
        <v>494</v>
      </c>
      <c r="B368" t="s">
        <v>54</v>
      </c>
      <c r="C368" t="s">
        <v>55</v>
      </c>
      <c r="D368" t="s">
        <v>49</v>
      </c>
      <c r="E368" t="s">
        <v>56</v>
      </c>
      <c r="F368" t="s">
        <v>65</v>
      </c>
      <c r="G368" t="s">
        <v>66</v>
      </c>
      <c r="H368" s="1">
        <v>45838</v>
      </c>
      <c r="I368" s="1">
        <v>45839</v>
      </c>
      <c r="J368" s="86">
        <v>21384.458999999999</v>
      </c>
      <c r="K368" s="88">
        <v>26.45</v>
      </c>
      <c r="L368" s="88">
        <v>28.84</v>
      </c>
      <c r="M368" s="1">
        <v>45881</v>
      </c>
      <c r="N368" s="1">
        <v>45880</v>
      </c>
      <c r="O368" s="86">
        <v>21384.458999999999</v>
      </c>
      <c r="P368" t="s">
        <v>32</v>
      </c>
      <c r="Q368">
        <v>1</v>
      </c>
      <c r="R368">
        <v>1</v>
      </c>
      <c r="S368">
        <v>1</v>
      </c>
      <c r="T368" s="89">
        <v>41</v>
      </c>
      <c r="U368">
        <v>2025</v>
      </c>
      <c r="V368" s="90">
        <v>45839</v>
      </c>
      <c r="W368" s="87">
        <v>565618.94054999994</v>
      </c>
      <c r="X368" s="87">
        <v>616727.79755999998</v>
      </c>
      <c r="Y368" s="87">
        <v>-51108.857010000007</v>
      </c>
    </row>
    <row r="369" spans="1:25">
      <c r="A369" t="s">
        <v>495</v>
      </c>
      <c r="B369" t="s">
        <v>68</v>
      </c>
      <c r="C369" t="s">
        <v>69</v>
      </c>
      <c r="D369" t="s">
        <v>43</v>
      </c>
      <c r="E369" t="s">
        <v>37</v>
      </c>
      <c r="F369" t="s">
        <v>44</v>
      </c>
      <c r="G369" t="s">
        <v>45</v>
      </c>
      <c r="H369" s="1">
        <v>45839</v>
      </c>
      <c r="I369" s="1">
        <v>45841</v>
      </c>
      <c r="J369" s="86">
        <v>142362.26800000001</v>
      </c>
      <c r="K369" s="88">
        <v>3.99</v>
      </c>
      <c r="L369" s="88">
        <v>4.17</v>
      </c>
      <c r="M369" s="1">
        <v>45862</v>
      </c>
      <c r="N369" s="1">
        <v>45862</v>
      </c>
      <c r="O369" s="86">
        <v>142362.26800000001</v>
      </c>
      <c r="P369" t="s">
        <v>32</v>
      </c>
      <c r="Q369">
        <v>1</v>
      </c>
      <c r="R369">
        <v>1</v>
      </c>
      <c r="S369">
        <v>1</v>
      </c>
      <c r="T369" s="89">
        <v>21</v>
      </c>
      <c r="U369">
        <v>2025</v>
      </c>
      <c r="V369" s="90">
        <v>45839</v>
      </c>
      <c r="W369" s="87">
        <v>568025.44932000013</v>
      </c>
      <c r="X369" s="87">
        <v>593650.65756000008</v>
      </c>
      <c r="Y369" s="87">
        <v>-25625.20823999996</v>
      </c>
    </row>
    <row r="370" spans="1:25">
      <c r="A370" t="s">
        <v>496</v>
      </c>
      <c r="B370" t="s">
        <v>111</v>
      </c>
      <c r="C370" t="s">
        <v>112</v>
      </c>
      <c r="D370" t="s">
        <v>113</v>
      </c>
      <c r="E370" t="s">
        <v>84</v>
      </c>
      <c r="F370" t="s">
        <v>121</v>
      </c>
      <c r="G370" t="s">
        <v>122</v>
      </c>
      <c r="H370" s="1">
        <v>45839</v>
      </c>
      <c r="I370" s="1">
        <v>45840</v>
      </c>
      <c r="J370" s="86">
        <v>22879841.217999998</v>
      </c>
      <c r="K370" s="88">
        <v>9.5699999999999993E-2</v>
      </c>
      <c r="L370" s="88">
        <v>0.1133</v>
      </c>
      <c r="M370" s="1">
        <v>45910</v>
      </c>
      <c r="N370" s="1">
        <v>45908</v>
      </c>
      <c r="O370" s="86">
        <v>22879841.217999998</v>
      </c>
      <c r="P370" t="s">
        <v>32</v>
      </c>
      <c r="Q370">
        <v>1</v>
      </c>
      <c r="R370">
        <v>1</v>
      </c>
      <c r="S370">
        <v>1</v>
      </c>
      <c r="T370" s="89">
        <v>68</v>
      </c>
      <c r="U370">
        <v>2025</v>
      </c>
      <c r="V370" s="90">
        <v>45839</v>
      </c>
      <c r="W370" s="87">
        <v>2189600.8045625999</v>
      </c>
      <c r="X370" s="87">
        <v>2592286.0099994</v>
      </c>
      <c r="Y370" s="87">
        <v>-402685.20543680008</v>
      </c>
    </row>
    <row r="371" spans="1:25">
      <c r="A371" t="s">
        <v>497</v>
      </c>
      <c r="B371" t="s">
        <v>117</v>
      </c>
      <c r="C371" t="s">
        <v>118</v>
      </c>
      <c r="D371" t="s">
        <v>119</v>
      </c>
      <c r="E371" t="s">
        <v>120</v>
      </c>
      <c r="F371" t="s">
        <v>137</v>
      </c>
      <c r="G371" t="s">
        <v>138</v>
      </c>
      <c r="H371" s="1">
        <v>45838</v>
      </c>
      <c r="I371" s="1">
        <v>45841</v>
      </c>
      <c r="J371" s="86">
        <v>13729268.622</v>
      </c>
      <c r="K371" s="88">
        <v>4.0000000000000001E-3</v>
      </c>
      <c r="L371" s="88">
        <v>4.1000000000000003E-3</v>
      </c>
      <c r="M371" s="1">
        <v>45876</v>
      </c>
      <c r="N371" s="1">
        <v>45873</v>
      </c>
      <c r="O371" s="86">
        <v>13729268.622</v>
      </c>
      <c r="P371" t="s">
        <v>32</v>
      </c>
      <c r="Q371">
        <v>1</v>
      </c>
      <c r="R371">
        <v>1</v>
      </c>
      <c r="S371">
        <v>1</v>
      </c>
      <c r="T371" s="89">
        <v>32</v>
      </c>
      <c r="U371">
        <v>2025</v>
      </c>
      <c r="V371" s="90">
        <v>45839</v>
      </c>
      <c r="W371" s="87">
        <v>54917.074487999998</v>
      </c>
      <c r="X371" s="87">
        <v>56290.0013502</v>
      </c>
      <c r="Y371" s="87">
        <v>-1372.9268622000036</v>
      </c>
    </row>
    <row r="372" spans="1:25">
      <c r="A372" t="s">
        <v>498</v>
      </c>
      <c r="B372" t="s">
        <v>124</v>
      </c>
      <c r="C372" t="s">
        <v>125</v>
      </c>
      <c r="D372" t="s">
        <v>119</v>
      </c>
      <c r="E372" t="s">
        <v>126</v>
      </c>
      <c r="F372" t="s">
        <v>121</v>
      </c>
      <c r="G372" t="s">
        <v>122</v>
      </c>
      <c r="H372" s="1">
        <v>45838</v>
      </c>
      <c r="I372" s="1">
        <v>45840</v>
      </c>
      <c r="J372" s="86">
        <v>8017352.0599999996</v>
      </c>
      <c r="K372" s="88">
        <v>2.01E-2</v>
      </c>
      <c r="L372" s="88">
        <v>2.06E-2</v>
      </c>
      <c r="M372" s="1">
        <v>45875</v>
      </c>
      <c r="N372" s="1">
        <v>45872</v>
      </c>
      <c r="O372" s="86">
        <v>8017352.0599999996</v>
      </c>
      <c r="P372" t="s">
        <v>32</v>
      </c>
      <c r="Q372">
        <v>1</v>
      </c>
      <c r="R372">
        <v>1</v>
      </c>
      <c r="S372">
        <v>1</v>
      </c>
      <c r="T372" s="89">
        <v>32</v>
      </c>
      <c r="U372">
        <v>2025</v>
      </c>
      <c r="V372" s="90">
        <v>45839</v>
      </c>
      <c r="W372" s="87">
        <v>161148.77640599999</v>
      </c>
      <c r="X372" s="87">
        <v>165157.45243599999</v>
      </c>
      <c r="Y372" s="87">
        <v>-4008.6760300000033</v>
      </c>
    </row>
    <row r="373" spans="1:25">
      <c r="A373" t="s">
        <v>499</v>
      </c>
      <c r="B373" t="s">
        <v>140</v>
      </c>
      <c r="C373" t="s">
        <v>141</v>
      </c>
      <c r="D373" t="s">
        <v>142</v>
      </c>
      <c r="E373" t="s">
        <v>84</v>
      </c>
      <c r="F373" t="s">
        <v>121</v>
      </c>
      <c r="G373" t="s">
        <v>122</v>
      </c>
      <c r="H373" s="1">
        <v>45838</v>
      </c>
      <c r="I373" s="1">
        <v>45840</v>
      </c>
      <c r="J373" s="86">
        <v>22978013.620000001</v>
      </c>
      <c r="K373" s="88">
        <v>1.0800000000000001E-2</v>
      </c>
      <c r="L373" s="88">
        <v>1.24E-2</v>
      </c>
      <c r="M373" s="1">
        <v>45854</v>
      </c>
      <c r="N373" s="1">
        <v>45853</v>
      </c>
      <c r="O373" s="86">
        <v>22978013.620000001</v>
      </c>
      <c r="P373" t="s">
        <v>32</v>
      </c>
      <c r="Q373">
        <v>1</v>
      </c>
      <c r="R373">
        <v>1</v>
      </c>
      <c r="S373">
        <v>1</v>
      </c>
      <c r="T373" s="89">
        <v>13</v>
      </c>
      <c r="U373">
        <v>2025</v>
      </c>
      <c r="V373" s="90">
        <v>45839</v>
      </c>
      <c r="W373" s="87">
        <v>248162.54709600002</v>
      </c>
      <c r="X373" s="87">
        <v>284927.36888800003</v>
      </c>
      <c r="Y373" s="87">
        <v>-36764.821791999981</v>
      </c>
    </row>
    <row r="374" spans="1:25">
      <c r="A374" t="s">
        <v>500</v>
      </c>
      <c r="B374" t="s">
        <v>63</v>
      </c>
      <c r="C374" t="s">
        <v>64</v>
      </c>
      <c r="D374" t="s">
        <v>49</v>
      </c>
      <c r="E374" t="s">
        <v>56</v>
      </c>
      <c r="F374" t="s">
        <v>65</v>
      </c>
      <c r="G374" t="s">
        <v>66</v>
      </c>
      <c r="H374" s="1">
        <v>45846</v>
      </c>
      <c r="I374" s="1">
        <v>45848</v>
      </c>
      <c r="J374" s="86">
        <v>2850.152</v>
      </c>
      <c r="K374" s="88">
        <v>159.79</v>
      </c>
      <c r="L374" s="88">
        <v>164.8</v>
      </c>
      <c r="M374" s="1">
        <v>45876</v>
      </c>
      <c r="N374" s="1">
        <v>45873</v>
      </c>
      <c r="O374" s="86">
        <v>2850.152</v>
      </c>
      <c r="P374" t="s">
        <v>32</v>
      </c>
      <c r="Q374">
        <v>1</v>
      </c>
      <c r="R374">
        <v>1</v>
      </c>
      <c r="S374">
        <v>1</v>
      </c>
      <c r="T374" s="89">
        <v>25</v>
      </c>
      <c r="U374">
        <v>2025</v>
      </c>
      <c r="V374" s="90">
        <v>45839</v>
      </c>
      <c r="W374" s="87">
        <v>455425.78807999997</v>
      </c>
      <c r="X374" s="87">
        <v>469705.04960000003</v>
      </c>
      <c r="Y374" s="87">
        <v>-14279.261520000055</v>
      </c>
    </row>
    <row r="375" spans="1:25">
      <c r="A375" t="s">
        <v>501</v>
      </c>
      <c r="B375" t="s">
        <v>134</v>
      </c>
      <c r="C375" t="s">
        <v>135</v>
      </c>
      <c r="D375" t="s">
        <v>136</v>
      </c>
      <c r="E375" t="s">
        <v>101</v>
      </c>
      <c r="F375" t="s">
        <v>137</v>
      </c>
      <c r="G375" t="s">
        <v>138</v>
      </c>
      <c r="H375" s="1">
        <v>45846</v>
      </c>
      <c r="I375" s="1">
        <v>45848</v>
      </c>
      <c r="J375" s="86">
        <v>56351.415999999997</v>
      </c>
      <c r="K375" s="88">
        <v>6.56</v>
      </c>
      <c r="L375" s="88">
        <v>6.7</v>
      </c>
      <c r="M375" s="1">
        <v>45904</v>
      </c>
      <c r="N375" s="1">
        <v>45901</v>
      </c>
      <c r="O375" s="86">
        <v>56351.415999999997</v>
      </c>
      <c r="P375" t="s">
        <v>32</v>
      </c>
      <c r="Q375">
        <v>1</v>
      </c>
      <c r="R375">
        <v>1</v>
      </c>
      <c r="S375">
        <v>1</v>
      </c>
      <c r="T375" s="89">
        <v>53</v>
      </c>
      <c r="U375">
        <v>2025</v>
      </c>
      <c r="V375" s="90">
        <v>45839</v>
      </c>
      <c r="W375" s="87">
        <v>369665.28895999998</v>
      </c>
      <c r="X375" s="87">
        <v>377554.48719999997</v>
      </c>
      <c r="Y375" s="87">
        <v>-7889.1982400000315</v>
      </c>
    </row>
    <row r="376" spans="1:25">
      <c r="A376" t="s">
        <v>502</v>
      </c>
      <c r="B376" t="s">
        <v>26</v>
      </c>
      <c r="C376" t="s">
        <v>27</v>
      </c>
      <c r="D376" t="s">
        <v>28</v>
      </c>
      <c r="E376" t="s">
        <v>29</v>
      </c>
      <c r="F376" t="s">
        <v>149</v>
      </c>
      <c r="G376" t="s">
        <v>150</v>
      </c>
      <c r="H376" s="1">
        <v>45854</v>
      </c>
      <c r="I376" s="1">
        <v>45857</v>
      </c>
      <c r="J376" s="86">
        <v>23755.4</v>
      </c>
      <c r="K376" s="88">
        <v>101.41</v>
      </c>
      <c r="L376" s="88">
        <v>107.13</v>
      </c>
      <c r="M376" s="1">
        <v>45899</v>
      </c>
      <c r="N376" s="1">
        <v>45902</v>
      </c>
      <c r="O376" s="86">
        <v>23755.4</v>
      </c>
      <c r="P376" t="s">
        <v>32</v>
      </c>
      <c r="Q376">
        <v>0</v>
      </c>
      <c r="R376">
        <v>1</v>
      </c>
      <c r="S376">
        <v>0</v>
      </c>
      <c r="T376" s="89">
        <v>45</v>
      </c>
      <c r="U376">
        <v>2025</v>
      </c>
      <c r="V376" s="90">
        <v>45839</v>
      </c>
      <c r="W376" s="87">
        <v>2409035.1140000001</v>
      </c>
      <c r="X376" s="87">
        <v>2544916.0019999999</v>
      </c>
      <c r="Y376" s="87">
        <v>-135880.88799999998</v>
      </c>
    </row>
    <row r="377" spans="1:25">
      <c r="A377" t="s">
        <v>503</v>
      </c>
      <c r="B377" t="s">
        <v>76</v>
      </c>
      <c r="C377" t="s">
        <v>77</v>
      </c>
      <c r="D377" t="s">
        <v>78</v>
      </c>
      <c r="E377" t="s">
        <v>37</v>
      </c>
      <c r="F377" t="s">
        <v>44</v>
      </c>
      <c r="G377" t="s">
        <v>45</v>
      </c>
      <c r="H377" s="1">
        <v>45854</v>
      </c>
      <c r="I377" s="1">
        <v>45857</v>
      </c>
      <c r="J377" s="86">
        <v>14250.050999999999</v>
      </c>
      <c r="K377" s="88">
        <v>36.020000000000003</v>
      </c>
      <c r="L377" s="88">
        <v>39.14</v>
      </c>
      <c r="M377" s="1">
        <v>45892</v>
      </c>
      <c r="N377" s="1">
        <v>45891</v>
      </c>
      <c r="O377" s="86">
        <v>14250.050999999999</v>
      </c>
      <c r="P377" t="s">
        <v>32</v>
      </c>
      <c r="Q377">
        <v>1</v>
      </c>
      <c r="R377">
        <v>1</v>
      </c>
      <c r="S377">
        <v>1</v>
      </c>
      <c r="T377" s="89">
        <v>34</v>
      </c>
      <c r="U377">
        <v>2025</v>
      </c>
      <c r="V377" s="90">
        <v>45839</v>
      </c>
      <c r="W377" s="87">
        <v>513286.83702000004</v>
      </c>
      <c r="X377" s="87">
        <v>557746.99613999994</v>
      </c>
      <c r="Y377" s="87">
        <v>-44460.15911999996</v>
      </c>
    </row>
    <row r="378" spans="1:25">
      <c r="A378" t="s">
        <v>504</v>
      </c>
      <c r="B378" t="s">
        <v>92</v>
      </c>
      <c r="C378" t="s">
        <v>93</v>
      </c>
      <c r="D378" t="s">
        <v>94</v>
      </c>
      <c r="E378" t="s">
        <v>56</v>
      </c>
      <c r="F378" t="s">
        <v>95</v>
      </c>
      <c r="G378" t="s">
        <v>96</v>
      </c>
      <c r="H378" s="1">
        <v>45854</v>
      </c>
      <c r="I378" s="1">
        <v>45856</v>
      </c>
      <c r="J378" s="86">
        <v>108.16200000000001</v>
      </c>
      <c r="K378" s="88">
        <v>4047.35</v>
      </c>
      <c r="L378" s="88">
        <v>4017</v>
      </c>
      <c r="M378" s="1">
        <v>45926</v>
      </c>
      <c r="N378" s="1">
        <v>45923</v>
      </c>
      <c r="O378" s="86">
        <v>108.16200000000001</v>
      </c>
      <c r="P378" t="s">
        <v>32</v>
      </c>
      <c r="Q378">
        <v>1</v>
      </c>
      <c r="R378">
        <v>1</v>
      </c>
      <c r="S378">
        <v>1</v>
      </c>
      <c r="T378" s="89">
        <v>67</v>
      </c>
      <c r="U378">
        <v>2025</v>
      </c>
      <c r="V378" s="90">
        <v>45839</v>
      </c>
      <c r="W378" s="87">
        <v>437769.47070000001</v>
      </c>
      <c r="X378" s="87">
        <v>434486.75400000002</v>
      </c>
      <c r="Y378" s="87">
        <v>3282.7166999999904</v>
      </c>
    </row>
    <row r="379" spans="1:25">
      <c r="A379" t="s">
        <v>505</v>
      </c>
      <c r="B379" t="s">
        <v>98</v>
      </c>
      <c r="C379" t="s">
        <v>99</v>
      </c>
      <c r="D379" t="s">
        <v>100</v>
      </c>
      <c r="E379" t="s">
        <v>101</v>
      </c>
      <c r="F379" t="s">
        <v>102</v>
      </c>
      <c r="G379" t="s">
        <v>103</v>
      </c>
      <c r="H379" s="1">
        <v>45854</v>
      </c>
      <c r="I379" s="1">
        <v>45856</v>
      </c>
      <c r="J379" s="86">
        <v>19</v>
      </c>
      <c r="K379" s="88">
        <v>6282.23</v>
      </c>
      <c r="L379" s="88">
        <v>6386</v>
      </c>
      <c r="M379" s="1">
        <v>45905</v>
      </c>
      <c r="N379" s="1">
        <v>45903</v>
      </c>
      <c r="O379" s="86">
        <v>19</v>
      </c>
      <c r="P379" t="s">
        <v>32</v>
      </c>
      <c r="Q379">
        <v>1</v>
      </c>
      <c r="R379">
        <v>1</v>
      </c>
      <c r="S379">
        <v>1</v>
      </c>
      <c r="T379" s="89">
        <v>47</v>
      </c>
      <c r="U379">
        <v>2025</v>
      </c>
      <c r="V379" s="90">
        <v>45839</v>
      </c>
      <c r="W379" s="87">
        <v>119362.37</v>
      </c>
      <c r="X379" s="87">
        <v>121334</v>
      </c>
      <c r="Y379" s="87">
        <v>-1971.6300000000083</v>
      </c>
    </row>
    <row r="380" spans="1:25">
      <c r="A380" t="s">
        <v>506</v>
      </c>
      <c r="B380" t="s">
        <v>41</v>
      </c>
      <c r="C380" t="s">
        <v>42</v>
      </c>
      <c r="D380" t="s">
        <v>43</v>
      </c>
      <c r="E380" t="s">
        <v>37</v>
      </c>
      <c r="F380" t="s">
        <v>44</v>
      </c>
      <c r="G380" t="s">
        <v>45</v>
      </c>
      <c r="H380" s="1">
        <v>45859</v>
      </c>
      <c r="I380" s="1">
        <v>45861</v>
      </c>
      <c r="J380" s="86">
        <v>42716.324000000001</v>
      </c>
      <c r="K380" s="88">
        <v>8.81</v>
      </c>
      <c r="L380" s="88">
        <v>9.7799999999999994</v>
      </c>
      <c r="M380" s="1">
        <v>45882</v>
      </c>
      <c r="N380" s="1">
        <v>45880</v>
      </c>
      <c r="O380" s="86">
        <v>42716.324000000001</v>
      </c>
      <c r="P380" t="s">
        <v>32</v>
      </c>
      <c r="Q380">
        <v>1</v>
      </c>
      <c r="R380">
        <v>1</v>
      </c>
      <c r="S380">
        <v>1</v>
      </c>
      <c r="T380" s="89">
        <v>19</v>
      </c>
      <c r="U380">
        <v>2025</v>
      </c>
      <c r="V380" s="90">
        <v>45839</v>
      </c>
      <c r="W380" s="87">
        <v>376330.81444000005</v>
      </c>
      <c r="X380" s="87">
        <v>417765.64872</v>
      </c>
      <c r="Y380" s="87">
        <v>-41434.834279999952</v>
      </c>
    </row>
    <row r="381" spans="1:25">
      <c r="A381" t="s">
        <v>507</v>
      </c>
      <c r="B381" t="s">
        <v>73</v>
      </c>
      <c r="C381" t="s">
        <v>74</v>
      </c>
      <c r="D381" t="s">
        <v>43</v>
      </c>
      <c r="E381" t="s">
        <v>37</v>
      </c>
      <c r="F381" t="s">
        <v>70</v>
      </c>
      <c r="G381" t="s">
        <v>71</v>
      </c>
      <c r="H381" s="1">
        <v>45861</v>
      </c>
      <c r="I381" s="1">
        <v>45863</v>
      </c>
      <c r="J381" s="86">
        <v>59638.894</v>
      </c>
      <c r="K381" s="88">
        <v>6.87</v>
      </c>
      <c r="L381" s="88">
        <v>7</v>
      </c>
      <c r="M381" s="1">
        <v>45884</v>
      </c>
      <c r="N381" s="1">
        <v>45881</v>
      </c>
      <c r="O381" s="86">
        <v>59638.894</v>
      </c>
      <c r="P381" t="s">
        <v>32</v>
      </c>
      <c r="Q381">
        <v>1</v>
      </c>
      <c r="R381">
        <v>1</v>
      </c>
      <c r="S381">
        <v>1</v>
      </c>
      <c r="T381" s="89">
        <v>18</v>
      </c>
      <c r="U381">
        <v>2025</v>
      </c>
      <c r="V381" s="90">
        <v>45839</v>
      </c>
      <c r="W381" s="87">
        <v>409719.20178</v>
      </c>
      <c r="X381" s="87">
        <v>417472.25800000003</v>
      </c>
      <c r="Y381" s="87">
        <v>-7753.056219999994</v>
      </c>
    </row>
    <row r="382" spans="1:25">
      <c r="A382" t="s">
        <v>508</v>
      </c>
      <c r="B382" t="s">
        <v>82</v>
      </c>
      <c r="C382" t="s">
        <v>83</v>
      </c>
      <c r="D382" t="s">
        <v>78</v>
      </c>
      <c r="E382" t="s">
        <v>84</v>
      </c>
      <c r="F382" t="s">
        <v>79</v>
      </c>
      <c r="G382" t="s">
        <v>80</v>
      </c>
      <c r="H382" s="1">
        <v>45860</v>
      </c>
      <c r="I382" s="1">
        <v>45862</v>
      </c>
      <c r="J382" s="86">
        <v>284.92399999999998</v>
      </c>
      <c r="K382" s="88">
        <v>519.36</v>
      </c>
      <c r="L382" s="88">
        <v>535.6</v>
      </c>
      <c r="M382" s="1">
        <v>45897</v>
      </c>
      <c r="N382" s="1">
        <v>45895</v>
      </c>
      <c r="O382" s="86">
        <v>284.92399999999998</v>
      </c>
      <c r="P382" t="s">
        <v>32</v>
      </c>
      <c r="Q382">
        <v>1</v>
      </c>
      <c r="R382">
        <v>1</v>
      </c>
      <c r="S382">
        <v>1</v>
      </c>
      <c r="T382" s="89">
        <v>33</v>
      </c>
      <c r="U382">
        <v>2025</v>
      </c>
      <c r="V382" s="90">
        <v>45839</v>
      </c>
      <c r="W382" s="87">
        <v>147978.12863999998</v>
      </c>
      <c r="X382" s="87">
        <v>152605.29439999998</v>
      </c>
      <c r="Y382" s="87">
        <v>-4627.1657600000026</v>
      </c>
    </row>
    <row r="383" spans="1:25">
      <c r="A383" t="s">
        <v>509</v>
      </c>
      <c r="B383" t="s">
        <v>105</v>
      </c>
      <c r="C383" t="s">
        <v>106</v>
      </c>
      <c r="D383" t="s">
        <v>107</v>
      </c>
      <c r="E383" t="s">
        <v>101</v>
      </c>
      <c r="F383" t="s">
        <v>108</v>
      </c>
      <c r="G383" t="s">
        <v>109</v>
      </c>
      <c r="H383" s="1">
        <v>45861</v>
      </c>
      <c r="I383" s="1">
        <v>45863</v>
      </c>
      <c r="J383" s="86">
        <v>3</v>
      </c>
      <c r="K383" s="88">
        <v>48161.599999999999</v>
      </c>
      <c r="L383" s="88">
        <v>49440</v>
      </c>
      <c r="M383" s="1">
        <v>45989</v>
      </c>
      <c r="N383" s="1">
        <v>45986</v>
      </c>
      <c r="O383" s="86">
        <v>3</v>
      </c>
      <c r="P383" t="s">
        <v>32</v>
      </c>
      <c r="Q383">
        <v>1</v>
      </c>
      <c r="R383">
        <v>1</v>
      </c>
      <c r="S383">
        <v>1</v>
      </c>
      <c r="T383" s="89">
        <v>123</v>
      </c>
      <c r="U383">
        <v>2025</v>
      </c>
      <c r="V383" s="90">
        <v>45839</v>
      </c>
      <c r="W383" s="87">
        <v>144484.79999999999</v>
      </c>
      <c r="X383" s="87">
        <v>148320</v>
      </c>
      <c r="Y383" s="87">
        <v>-3835.2000000000044</v>
      </c>
    </row>
    <row r="384" spans="1:25">
      <c r="A384" t="s">
        <v>510</v>
      </c>
      <c r="B384" t="s">
        <v>34</v>
      </c>
      <c r="C384" t="s">
        <v>35</v>
      </c>
      <c r="D384" t="s">
        <v>36</v>
      </c>
      <c r="E384" t="s">
        <v>37</v>
      </c>
      <c r="F384" t="s">
        <v>38</v>
      </c>
      <c r="G384" t="s">
        <v>39</v>
      </c>
      <c r="H384" s="1">
        <v>45867</v>
      </c>
      <c r="I384" s="1">
        <v>45868</v>
      </c>
      <c r="J384" s="86">
        <v>2085.2759999999998</v>
      </c>
      <c r="K384" s="88">
        <v>2336.0100000000002</v>
      </c>
      <c r="L384" s="88">
        <v>2472</v>
      </c>
      <c r="M384" s="1">
        <v>45938</v>
      </c>
      <c r="N384" s="1">
        <v>45938</v>
      </c>
      <c r="O384" s="86">
        <v>2085.2759999999998</v>
      </c>
      <c r="P384" t="s">
        <v>32</v>
      </c>
      <c r="Q384">
        <v>1</v>
      </c>
      <c r="R384">
        <v>1</v>
      </c>
      <c r="S384">
        <v>1</v>
      </c>
      <c r="T384" s="89">
        <v>70</v>
      </c>
      <c r="U384">
        <v>2025</v>
      </c>
      <c r="V384" s="90">
        <v>45839</v>
      </c>
      <c r="W384" s="87">
        <v>4871225.5887599997</v>
      </c>
      <c r="X384" s="87">
        <v>5154802.2719999999</v>
      </c>
      <c r="Y384" s="87">
        <v>-283576.68323999952</v>
      </c>
    </row>
    <row r="385" spans="1:25">
      <c r="A385" t="s">
        <v>511</v>
      </c>
      <c r="B385" t="s">
        <v>60</v>
      </c>
      <c r="C385" t="s">
        <v>61</v>
      </c>
      <c r="D385" t="s">
        <v>49</v>
      </c>
      <c r="E385" t="s">
        <v>56</v>
      </c>
      <c r="F385" t="s">
        <v>57</v>
      </c>
      <c r="G385" t="s">
        <v>58</v>
      </c>
      <c r="H385" s="1">
        <v>45866</v>
      </c>
      <c r="I385" s="1">
        <v>45868</v>
      </c>
      <c r="J385" s="86">
        <v>1906.7249999999999</v>
      </c>
      <c r="K385" s="88">
        <v>422.66</v>
      </c>
      <c r="L385" s="88">
        <v>434.97</v>
      </c>
      <c r="M385" s="1">
        <v>45910</v>
      </c>
      <c r="N385" s="1">
        <v>45909</v>
      </c>
      <c r="O385" s="86">
        <v>1906.7249999999999</v>
      </c>
      <c r="P385" t="s">
        <v>32</v>
      </c>
      <c r="Q385">
        <v>1</v>
      </c>
      <c r="R385">
        <v>1</v>
      </c>
      <c r="S385">
        <v>1</v>
      </c>
      <c r="T385" s="89">
        <v>41</v>
      </c>
      <c r="U385">
        <v>2025</v>
      </c>
      <c r="V385" s="90">
        <v>45839</v>
      </c>
      <c r="W385" s="87">
        <v>805896.3885</v>
      </c>
      <c r="X385" s="87">
        <v>829368.17324999999</v>
      </c>
      <c r="Y385" s="87">
        <v>-23471.784750000003</v>
      </c>
    </row>
    <row r="386" spans="1:25">
      <c r="A386" t="s">
        <v>512</v>
      </c>
      <c r="B386" t="s">
        <v>86</v>
      </c>
      <c r="C386" t="s">
        <v>87</v>
      </c>
      <c r="D386" t="s">
        <v>88</v>
      </c>
      <c r="E386" t="s">
        <v>84</v>
      </c>
      <c r="F386" t="s">
        <v>89</v>
      </c>
      <c r="G386" t="s">
        <v>90</v>
      </c>
      <c r="H386" s="1">
        <v>45867</v>
      </c>
      <c r="I386" s="1">
        <v>45870</v>
      </c>
      <c r="J386" s="86">
        <v>14.28</v>
      </c>
      <c r="K386" s="88">
        <v>9730.27</v>
      </c>
      <c r="L386" s="88">
        <v>9980.7000000000007</v>
      </c>
      <c r="M386" s="1">
        <v>45933</v>
      </c>
      <c r="N386" s="1">
        <v>45933</v>
      </c>
      <c r="O386" s="86">
        <v>14.28</v>
      </c>
      <c r="P386" t="s">
        <v>32</v>
      </c>
      <c r="Q386">
        <v>1</v>
      </c>
      <c r="R386">
        <v>1</v>
      </c>
      <c r="S386">
        <v>1</v>
      </c>
      <c r="T386" s="89">
        <v>63</v>
      </c>
      <c r="U386">
        <v>2025</v>
      </c>
      <c r="V386" s="90">
        <v>45870</v>
      </c>
      <c r="W386" s="87">
        <v>138948.2556</v>
      </c>
      <c r="X386" s="87">
        <v>142524.39600000001</v>
      </c>
      <c r="Y386" s="87">
        <v>-3576.1404000000039</v>
      </c>
    </row>
    <row r="387" spans="1:25">
      <c r="A387" t="s">
        <v>513</v>
      </c>
      <c r="B387" t="s">
        <v>134</v>
      </c>
      <c r="C387" t="s">
        <v>135</v>
      </c>
      <c r="D387" t="s">
        <v>136</v>
      </c>
      <c r="E387" t="s">
        <v>101</v>
      </c>
      <c r="F387" t="s">
        <v>137</v>
      </c>
      <c r="G387" t="s">
        <v>138</v>
      </c>
      <c r="H387" s="1">
        <v>45868</v>
      </c>
      <c r="I387" s="1">
        <v>45870</v>
      </c>
      <c r="J387" s="86">
        <v>64132.048999999999</v>
      </c>
      <c r="K387" s="88">
        <v>6.47</v>
      </c>
      <c r="L387" s="88">
        <v>6.7</v>
      </c>
      <c r="M387" s="1">
        <v>45926</v>
      </c>
      <c r="N387" s="1">
        <v>45925</v>
      </c>
      <c r="O387" s="86">
        <v>64132.048999999999</v>
      </c>
      <c r="P387" t="s">
        <v>32</v>
      </c>
      <c r="Q387">
        <v>1</v>
      </c>
      <c r="R387">
        <v>1</v>
      </c>
      <c r="S387">
        <v>1</v>
      </c>
      <c r="T387" s="89">
        <v>55</v>
      </c>
      <c r="U387">
        <v>2025</v>
      </c>
      <c r="V387" s="90">
        <v>45870</v>
      </c>
      <c r="W387" s="87">
        <v>414934.35702999996</v>
      </c>
      <c r="X387" s="87">
        <v>429684.72830000002</v>
      </c>
      <c r="Y387" s="87">
        <v>-14750.371270000027</v>
      </c>
    </row>
    <row r="388" spans="1:25">
      <c r="A388" t="s">
        <v>514</v>
      </c>
      <c r="B388" t="s">
        <v>34</v>
      </c>
      <c r="C388" t="s">
        <v>35</v>
      </c>
      <c r="D388" t="s">
        <v>36</v>
      </c>
      <c r="E388" t="s">
        <v>37</v>
      </c>
      <c r="F388" t="s">
        <v>515</v>
      </c>
      <c r="G388" t="s">
        <v>516</v>
      </c>
      <c r="H388" s="1">
        <v>45874</v>
      </c>
      <c r="I388" s="1">
        <v>45875</v>
      </c>
      <c r="J388" s="86">
        <v>840</v>
      </c>
      <c r="K388" s="88">
        <v>2672</v>
      </c>
      <c r="L388" s="88">
        <v>2472</v>
      </c>
      <c r="M388" s="1">
        <v>45896</v>
      </c>
      <c r="N388" s="1">
        <v>45896</v>
      </c>
      <c r="O388" s="86">
        <v>840</v>
      </c>
      <c r="P388" t="s">
        <v>213</v>
      </c>
      <c r="Q388">
        <v>1</v>
      </c>
      <c r="R388">
        <v>1</v>
      </c>
      <c r="S388">
        <v>1</v>
      </c>
      <c r="T388" s="89">
        <v>21</v>
      </c>
      <c r="U388">
        <v>2025</v>
      </c>
      <c r="V388" s="90">
        <v>45870</v>
      </c>
      <c r="W388" s="87">
        <v>2244480</v>
      </c>
      <c r="X388" s="87">
        <v>2076480</v>
      </c>
      <c r="Y388" s="87">
        <v>168000</v>
      </c>
    </row>
    <row r="389" spans="1:25">
      <c r="A389" t="s">
        <v>517</v>
      </c>
      <c r="B389" t="s">
        <v>47</v>
      </c>
      <c r="C389" t="s">
        <v>48</v>
      </c>
      <c r="D389" t="s">
        <v>49</v>
      </c>
      <c r="E389" t="s">
        <v>50</v>
      </c>
      <c r="F389" t="s">
        <v>51</v>
      </c>
      <c r="G389" t="s">
        <v>52</v>
      </c>
      <c r="H389" s="1">
        <v>45874</v>
      </c>
      <c r="I389" s="1">
        <v>45877</v>
      </c>
      <c r="J389" s="86">
        <v>143.91399999999999</v>
      </c>
      <c r="K389" s="88">
        <v>1990.45</v>
      </c>
      <c r="L389" s="88">
        <v>1905.5</v>
      </c>
      <c r="M389" s="1">
        <v>45933</v>
      </c>
      <c r="N389" s="1">
        <v>45930</v>
      </c>
      <c r="O389" s="86">
        <v>143.91399999999999</v>
      </c>
      <c r="P389" t="s">
        <v>32</v>
      </c>
      <c r="Q389">
        <v>1</v>
      </c>
      <c r="R389">
        <v>1</v>
      </c>
      <c r="S389">
        <v>1</v>
      </c>
      <c r="T389" s="89">
        <v>53</v>
      </c>
      <c r="U389">
        <v>2025</v>
      </c>
      <c r="V389" s="90">
        <v>45870</v>
      </c>
      <c r="W389" s="87">
        <v>286453.6213</v>
      </c>
      <c r="X389" s="87">
        <v>274228.12699999998</v>
      </c>
      <c r="Y389" s="87">
        <v>12225.494300000006</v>
      </c>
    </row>
    <row r="390" spans="1:25">
      <c r="A390" t="s">
        <v>518</v>
      </c>
      <c r="B390" t="s">
        <v>54</v>
      </c>
      <c r="C390" t="s">
        <v>55</v>
      </c>
      <c r="D390" t="s">
        <v>49</v>
      </c>
      <c r="E390" t="s">
        <v>56</v>
      </c>
      <c r="F390" t="s">
        <v>65</v>
      </c>
      <c r="G390" t="s">
        <v>66</v>
      </c>
      <c r="H390" s="1">
        <v>45873</v>
      </c>
      <c r="I390" s="1">
        <v>45876</v>
      </c>
      <c r="J390" s="86">
        <v>21557.552</v>
      </c>
      <c r="K390" s="88">
        <v>26.57</v>
      </c>
      <c r="L390" s="88">
        <v>28.84</v>
      </c>
      <c r="M390" s="1">
        <v>45918</v>
      </c>
      <c r="N390" s="1">
        <v>45917</v>
      </c>
      <c r="O390" s="86">
        <v>21557.552</v>
      </c>
      <c r="P390" t="s">
        <v>32</v>
      </c>
      <c r="Q390">
        <v>1</v>
      </c>
      <c r="R390">
        <v>1</v>
      </c>
      <c r="S390">
        <v>1</v>
      </c>
      <c r="T390" s="89">
        <v>41</v>
      </c>
      <c r="U390">
        <v>2025</v>
      </c>
      <c r="V390" s="90">
        <v>45870</v>
      </c>
      <c r="W390" s="87">
        <v>572784.15663999994</v>
      </c>
      <c r="X390" s="87">
        <v>621719.79967999994</v>
      </c>
      <c r="Y390" s="87">
        <v>-48935.643039999988</v>
      </c>
    </row>
    <row r="391" spans="1:25">
      <c r="A391" t="s">
        <v>519</v>
      </c>
      <c r="B391" t="s">
        <v>68</v>
      </c>
      <c r="C391" t="s">
        <v>69</v>
      </c>
      <c r="D391" t="s">
        <v>43</v>
      </c>
      <c r="E391" t="s">
        <v>37</v>
      </c>
      <c r="F391" t="s">
        <v>44</v>
      </c>
      <c r="G391" t="s">
        <v>45</v>
      </c>
      <c r="H391" s="1">
        <v>45875</v>
      </c>
      <c r="I391" s="1">
        <v>45877</v>
      </c>
      <c r="J391" s="86">
        <v>143720.315</v>
      </c>
      <c r="K391" s="88">
        <v>4.0599999999999996</v>
      </c>
      <c r="L391" s="88">
        <v>4.17</v>
      </c>
      <c r="M391" s="1">
        <v>45898</v>
      </c>
      <c r="N391" s="1">
        <v>45898</v>
      </c>
      <c r="O391" s="86">
        <v>143720.315</v>
      </c>
      <c r="P391" t="s">
        <v>32</v>
      </c>
      <c r="Q391">
        <v>1</v>
      </c>
      <c r="R391">
        <v>1</v>
      </c>
      <c r="S391">
        <v>1</v>
      </c>
      <c r="T391" s="89">
        <v>21</v>
      </c>
      <c r="U391">
        <v>2025</v>
      </c>
      <c r="V391" s="90">
        <v>45870</v>
      </c>
      <c r="W391" s="87">
        <v>583504.47889999999</v>
      </c>
      <c r="X391" s="87">
        <v>599313.71354999999</v>
      </c>
      <c r="Y391" s="87">
        <v>-15809.234650000046</v>
      </c>
    </row>
    <row r="392" spans="1:25">
      <c r="A392" t="s">
        <v>520</v>
      </c>
      <c r="B392" t="s">
        <v>111</v>
      </c>
      <c r="C392" t="s">
        <v>112</v>
      </c>
      <c r="D392" t="s">
        <v>113</v>
      </c>
      <c r="E392" t="s">
        <v>84</v>
      </c>
      <c r="F392" t="s">
        <v>121</v>
      </c>
      <c r="G392" t="s">
        <v>122</v>
      </c>
      <c r="H392" s="1">
        <v>45875</v>
      </c>
      <c r="I392" s="1">
        <v>45880</v>
      </c>
      <c r="J392" s="86">
        <v>21222411.276999999</v>
      </c>
      <c r="K392" s="88">
        <v>9.69E-2</v>
      </c>
      <c r="L392" s="88">
        <v>0.1133</v>
      </c>
      <c r="M392" s="1">
        <v>45950</v>
      </c>
      <c r="N392" s="1">
        <v>45958</v>
      </c>
      <c r="O392" s="86">
        <v>21222411.276999999</v>
      </c>
      <c r="P392" t="s">
        <v>32</v>
      </c>
      <c r="Q392">
        <v>0</v>
      </c>
      <c r="R392">
        <v>1</v>
      </c>
      <c r="S392">
        <v>0</v>
      </c>
      <c r="T392" s="89">
        <v>78</v>
      </c>
      <c r="U392">
        <v>2025</v>
      </c>
      <c r="V392" s="90">
        <v>45870</v>
      </c>
      <c r="W392" s="87">
        <v>2056451.6527412999</v>
      </c>
      <c r="X392" s="87">
        <v>2404499.1976840999</v>
      </c>
      <c r="Y392" s="87">
        <v>-348047.54494279996</v>
      </c>
    </row>
    <row r="393" spans="1:25">
      <c r="A393" t="s">
        <v>521</v>
      </c>
      <c r="B393" t="s">
        <v>117</v>
      </c>
      <c r="C393" t="s">
        <v>118</v>
      </c>
      <c r="D393" t="s">
        <v>119</v>
      </c>
      <c r="E393" t="s">
        <v>120</v>
      </c>
      <c r="F393" t="s">
        <v>121</v>
      </c>
      <c r="G393" t="s">
        <v>122</v>
      </c>
      <c r="H393" s="1">
        <v>45873</v>
      </c>
      <c r="I393" s="1">
        <v>45874</v>
      </c>
      <c r="J393" s="86">
        <v>12733598.880999999</v>
      </c>
      <c r="K393" s="88">
        <v>4.0000000000000001E-3</v>
      </c>
      <c r="L393" s="88">
        <v>4.1000000000000003E-3</v>
      </c>
      <c r="M393" s="1">
        <v>45909</v>
      </c>
      <c r="N393" s="1">
        <v>45909</v>
      </c>
      <c r="O393" s="86">
        <v>12733598.880999999</v>
      </c>
      <c r="P393" t="s">
        <v>32</v>
      </c>
      <c r="Q393">
        <v>1</v>
      </c>
      <c r="R393">
        <v>1</v>
      </c>
      <c r="S393">
        <v>1</v>
      </c>
      <c r="T393" s="89">
        <v>35</v>
      </c>
      <c r="U393">
        <v>2025</v>
      </c>
      <c r="V393" s="90">
        <v>45870</v>
      </c>
      <c r="W393" s="87">
        <v>50934.395524</v>
      </c>
      <c r="X393" s="87">
        <v>52207.755412099999</v>
      </c>
      <c r="Y393" s="87">
        <v>-1273.3598881000032</v>
      </c>
    </row>
    <row r="394" spans="1:25">
      <c r="A394" t="s">
        <v>522</v>
      </c>
      <c r="B394" t="s">
        <v>124</v>
      </c>
      <c r="C394" t="s">
        <v>125</v>
      </c>
      <c r="D394" t="s">
        <v>119</v>
      </c>
      <c r="E394" t="s">
        <v>126</v>
      </c>
      <c r="F394" t="s">
        <v>121</v>
      </c>
      <c r="G394" t="s">
        <v>122</v>
      </c>
      <c r="H394" s="1">
        <v>45873</v>
      </c>
      <c r="I394" s="1">
        <v>45876</v>
      </c>
      <c r="J394" s="86">
        <v>7429392.7869999995</v>
      </c>
      <c r="K394" s="88">
        <v>2.01E-2</v>
      </c>
      <c r="L394" s="88">
        <v>2.06E-2</v>
      </c>
      <c r="M394" s="1">
        <v>45911</v>
      </c>
      <c r="N394" s="1">
        <v>45909</v>
      </c>
      <c r="O394" s="86">
        <v>7429392.7869999995</v>
      </c>
      <c r="P394" t="s">
        <v>32</v>
      </c>
      <c r="Q394">
        <v>1</v>
      </c>
      <c r="R394">
        <v>1</v>
      </c>
      <c r="S394">
        <v>1</v>
      </c>
      <c r="T394" s="89">
        <v>33</v>
      </c>
      <c r="U394">
        <v>2025</v>
      </c>
      <c r="V394" s="90">
        <v>45870</v>
      </c>
      <c r="W394" s="87">
        <v>149330.79501869998</v>
      </c>
      <c r="X394" s="87">
        <v>153045.4914122</v>
      </c>
      <c r="Y394" s="87">
        <v>-3714.6963935000031</v>
      </c>
    </row>
    <row r="395" spans="1:25">
      <c r="A395" t="s">
        <v>523</v>
      </c>
      <c r="B395" t="s">
        <v>128</v>
      </c>
      <c r="C395" t="s">
        <v>129</v>
      </c>
      <c r="D395" t="s">
        <v>130</v>
      </c>
      <c r="E395" t="s">
        <v>84</v>
      </c>
      <c r="F395" t="s">
        <v>131</v>
      </c>
      <c r="G395" t="s">
        <v>132</v>
      </c>
      <c r="H395" s="1">
        <v>45873</v>
      </c>
      <c r="I395" s="1">
        <v>45874</v>
      </c>
      <c r="J395" s="86">
        <v>1</v>
      </c>
      <c r="K395" s="88">
        <v>64908.41</v>
      </c>
      <c r="L395" s="88">
        <v>66950</v>
      </c>
      <c r="M395" s="1">
        <v>45944</v>
      </c>
      <c r="N395" s="1">
        <v>45944</v>
      </c>
      <c r="O395" s="86">
        <v>1</v>
      </c>
      <c r="P395" t="s">
        <v>32</v>
      </c>
      <c r="Q395">
        <v>1</v>
      </c>
      <c r="R395">
        <v>1</v>
      </c>
      <c r="S395">
        <v>1</v>
      </c>
      <c r="T395" s="89">
        <v>70</v>
      </c>
      <c r="U395">
        <v>2025</v>
      </c>
      <c r="V395" s="90">
        <v>45870</v>
      </c>
      <c r="W395" s="87">
        <v>64908.41</v>
      </c>
      <c r="X395" s="87">
        <v>66950</v>
      </c>
      <c r="Y395" s="87">
        <v>-2041.5899999999965</v>
      </c>
    </row>
    <row r="396" spans="1:25">
      <c r="A396" t="s">
        <v>524</v>
      </c>
      <c r="B396" t="s">
        <v>140</v>
      </c>
      <c r="C396" t="s">
        <v>141</v>
      </c>
      <c r="D396" t="s">
        <v>142</v>
      </c>
      <c r="E396" t="s">
        <v>84</v>
      </c>
      <c r="F396" t="s">
        <v>121</v>
      </c>
      <c r="G396" t="s">
        <v>122</v>
      </c>
      <c r="H396" s="1">
        <v>45873</v>
      </c>
      <c r="I396" s="1">
        <v>45875</v>
      </c>
      <c r="J396" s="86">
        <v>21342921.004000001</v>
      </c>
      <c r="K396" s="88">
        <v>1.0800000000000001E-2</v>
      </c>
      <c r="L396" s="88">
        <v>1.24E-2</v>
      </c>
      <c r="M396" s="1">
        <v>45889</v>
      </c>
      <c r="N396" s="1">
        <v>45887</v>
      </c>
      <c r="O396" s="86">
        <v>18030841.170000002</v>
      </c>
      <c r="P396" t="s">
        <v>32</v>
      </c>
      <c r="Q396">
        <v>1</v>
      </c>
      <c r="R396">
        <v>0</v>
      </c>
      <c r="S396">
        <v>0</v>
      </c>
      <c r="T396" s="89">
        <v>12</v>
      </c>
      <c r="U396">
        <v>2025</v>
      </c>
      <c r="V396" s="90">
        <v>45870</v>
      </c>
      <c r="W396" s="87">
        <v>194733.08463600004</v>
      </c>
      <c r="X396" s="87">
        <v>223582.43050800002</v>
      </c>
      <c r="Y396" s="87">
        <v>-28849.345871999984</v>
      </c>
    </row>
    <row r="397" spans="1:25">
      <c r="A397" t="s">
        <v>525</v>
      </c>
      <c r="B397" t="s">
        <v>134</v>
      </c>
      <c r="C397" t="s">
        <v>135</v>
      </c>
      <c r="D397" t="s">
        <v>136</v>
      </c>
      <c r="E397" t="s">
        <v>101</v>
      </c>
      <c r="F397" t="s">
        <v>137</v>
      </c>
      <c r="G397" t="s">
        <v>138</v>
      </c>
      <c r="H397" s="1">
        <v>45889</v>
      </c>
      <c r="I397" s="1">
        <v>45891</v>
      </c>
      <c r="J397" s="86">
        <v>62513.517</v>
      </c>
      <c r="K397" s="88">
        <v>6.55</v>
      </c>
      <c r="L397" s="88">
        <v>6.7</v>
      </c>
      <c r="M397" s="1">
        <v>45947</v>
      </c>
      <c r="N397" s="1">
        <v>45944</v>
      </c>
      <c r="O397" s="86">
        <v>62513.517</v>
      </c>
      <c r="P397" t="s">
        <v>32</v>
      </c>
      <c r="Q397">
        <v>1</v>
      </c>
      <c r="R397">
        <v>1</v>
      </c>
      <c r="S397">
        <v>1</v>
      </c>
      <c r="T397" s="89">
        <v>53</v>
      </c>
      <c r="U397">
        <v>2025</v>
      </c>
      <c r="V397" s="90">
        <v>45870</v>
      </c>
      <c r="W397" s="87">
        <v>409463.53635000001</v>
      </c>
      <c r="X397" s="87">
        <v>418840.56390000001</v>
      </c>
      <c r="Y397" s="87">
        <v>-9377.0275500000225</v>
      </c>
    </row>
    <row r="398" spans="1:25">
      <c r="A398" t="s">
        <v>526</v>
      </c>
      <c r="B398" t="s">
        <v>63</v>
      </c>
      <c r="C398" t="s">
        <v>64</v>
      </c>
      <c r="D398" t="s">
        <v>49</v>
      </c>
      <c r="E398" t="s">
        <v>56</v>
      </c>
      <c r="F398" t="s">
        <v>65</v>
      </c>
      <c r="G398" t="s">
        <v>66</v>
      </c>
      <c r="H398" s="1">
        <v>45896</v>
      </c>
      <c r="I398" s="1">
        <v>45897</v>
      </c>
      <c r="J398" s="86">
        <v>2871.828</v>
      </c>
      <c r="K398" s="88">
        <v>158.88</v>
      </c>
      <c r="L398" s="88">
        <v>164.8</v>
      </c>
      <c r="M398" s="1">
        <v>45925</v>
      </c>
      <c r="N398" s="1">
        <v>45925</v>
      </c>
      <c r="O398" s="86">
        <v>2871.828</v>
      </c>
      <c r="P398" t="s">
        <v>32</v>
      </c>
      <c r="Q398">
        <v>1</v>
      </c>
      <c r="R398">
        <v>1</v>
      </c>
      <c r="S398">
        <v>1</v>
      </c>
      <c r="T398" s="89">
        <v>28</v>
      </c>
      <c r="U398">
        <v>2025</v>
      </c>
      <c r="V398" s="90">
        <v>45870</v>
      </c>
      <c r="W398" s="87">
        <v>456276.03263999999</v>
      </c>
      <c r="X398" s="87">
        <v>473277.25440000003</v>
      </c>
      <c r="Y398" s="87">
        <v>-17001.221760000044</v>
      </c>
    </row>
    <row r="399" spans="1:25">
      <c r="A399" t="s">
        <v>527</v>
      </c>
      <c r="B399" t="s">
        <v>26</v>
      </c>
      <c r="C399" t="s">
        <v>27</v>
      </c>
      <c r="D399" t="s">
        <v>28</v>
      </c>
      <c r="E399" t="s">
        <v>29</v>
      </c>
      <c r="F399" t="s">
        <v>149</v>
      </c>
      <c r="G399" t="s">
        <v>150</v>
      </c>
      <c r="H399" s="1">
        <v>45903</v>
      </c>
      <c r="I399" s="1">
        <v>45906</v>
      </c>
      <c r="J399" s="86">
        <v>23918.455999999998</v>
      </c>
      <c r="K399" s="88">
        <v>102.4</v>
      </c>
      <c r="L399" s="88">
        <v>107.13</v>
      </c>
      <c r="M399" s="1">
        <v>45948</v>
      </c>
      <c r="N399" s="1">
        <v>45948</v>
      </c>
      <c r="O399" s="86">
        <v>23918.455999999998</v>
      </c>
      <c r="P399" t="s">
        <v>32</v>
      </c>
      <c r="Q399">
        <v>1</v>
      </c>
      <c r="R399">
        <v>1</v>
      </c>
      <c r="S399">
        <v>1</v>
      </c>
      <c r="T399" s="89">
        <v>42</v>
      </c>
      <c r="U399">
        <v>2025</v>
      </c>
      <c r="V399" s="90">
        <v>45901</v>
      </c>
      <c r="W399" s="87">
        <v>2449249.8944000001</v>
      </c>
      <c r="X399" s="87">
        <v>2562384.1912799999</v>
      </c>
      <c r="Y399" s="87">
        <v>-113134.29687999975</v>
      </c>
    </row>
    <row r="400" spans="1:25">
      <c r="A400" t="s">
        <v>528</v>
      </c>
      <c r="B400" t="s">
        <v>76</v>
      </c>
      <c r="C400" t="s">
        <v>77</v>
      </c>
      <c r="D400" t="s">
        <v>78</v>
      </c>
      <c r="E400" t="s">
        <v>37</v>
      </c>
      <c r="F400" t="s">
        <v>44</v>
      </c>
      <c r="G400" t="s">
        <v>45</v>
      </c>
      <c r="H400" s="1">
        <v>45903</v>
      </c>
      <c r="I400" s="1">
        <v>45904</v>
      </c>
      <c r="J400" s="86">
        <v>14328.941000000001</v>
      </c>
      <c r="K400" s="88">
        <v>35.67</v>
      </c>
      <c r="L400" s="88">
        <v>39.14</v>
      </c>
      <c r="M400" s="1">
        <v>45939</v>
      </c>
      <c r="N400" s="1">
        <v>45937</v>
      </c>
      <c r="O400" s="86">
        <v>14328.941000000001</v>
      </c>
      <c r="P400" t="s">
        <v>32</v>
      </c>
      <c r="Q400">
        <v>1</v>
      </c>
      <c r="R400">
        <v>1</v>
      </c>
      <c r="S400">
        <v>1</v>
      </c>
      <c r="T400" s="89">
        <v>33</v>
      </c>
      <c r="U400">
        <v>2025</v>
      </c>
      <c r="V400" s="90">
        <v>45901</v>
      </c>
      <c r="W400" s="87">
        <v>511113.32547000004</v>
      </c>
      <c r="X400" s="87">
        <v>560834.75074000005</v>
      </c>
      <c r="Y400" s="87">
        <v>-49721.425269999985</v>
      </c>
    </row>
    <row r="401" spans="1:25">
      <c r="A401" t="s">
        <v>529</v>
      </c>
      <c r="B401" t="s">
        <v>92</v>
      </c>
      <c r="C401" t="s">
        <v>93</v>
      </c>
      <c r="D401" t="s">
        <v>94</v>
      </c>
      <c r="E401" t="s">
        <v>56</v>
      </c>
      <c r="F401" t="s">
        <v>95</v>
      </c>
      <c r="G401" t="s">
        <v>96</v>
      </c>
      <c r="H401" s="1">
        <v>45903</v>
      </c>
      <c r="I401" s="1">
        <v>45905</v>
      </c>
      <c r="J401" s="86">
        <v>95.504999999999995</v>
      </c>
      <c r="K401" s="88">
        <v>4005.71</v>
      </c>
      <c r="L401" s="88">
        <v>4017</v>
      </c>
      <c r="M401" s="1">
        <v>45975</v>
      </c>
      <c r="N401" s="1">
        <v>45972</v>
      </c>
      <c r="O401" s="86">
        <v>95.504999999999995</v>
      </c>
      <c r="P401" t="s">
        <v>32</v>
      </c>
      <c r="Q401">
        <v>1</v>
      </c>
      <c r="R401">
        <v>1</v>
      </c>
      <c r="S401">
        <v>1</v>
      </c>
      <c r="T401" s="89">
        <v>67</v>
      </c>
      <c r="U401">
        <v>2025</v>
      </c>
      <c r="V401" s="90">
        <v>45901</v>
      </c>
      <c r="W401" s="87">
        <v>382565.33354999998</v>
      </c>
      <c r="X401" s="87">
        <v>383643.58499999996</v>
      </c>
      <c r="Y401" s="87">
        <v>-1078.2514499999966</v>
      </c>
    </row>
    <row r="402" spans="1:25">
      <c r="A402" t="s">
        <v>530</v>
      </c>
      <c r="B402" t="s">
        <v>98</v>
      </c>
      <c r="C402" t="s">
        <v>99</v>
      </c>
      <c r="D402" t="s">
        <v>100</v>
      </c>
      <c r="E402" t="s">
        <v>101</v>
      </c>
      <c r="F402" t="s">
        <v>102</v>
      </c>
      <c r="G402" t="s">
        <v>103</v>
      </c>
      <c r="H402" s="1">
        <v>45902</v>
      </c>
      <c r="I402" s="1">
        <v>45903</v>
      </c>
      <c r="J402" s="86">
        <v>19.100000000000001</v>
      </c>
      <c r="K402" s="88">
        <v>6164.3</v>
      </c>
      <c r="L402" s="88">
        <v>6386</v>
      </c>
      <c r="M402" s="1">
        <v>45952</v>
      </c>
      <c r="N402" s="1">
        <v>45952</v>
      </c>
      <c r="O402" s="86">
        <v>19.100000000000001</v>
      </c>
      <c r="P402" t="s">
        <v>32</v>
      </c>
      <c r="Q402">
        <v>1</v>
      </c>
      <c r="R402">
        <v>1</v>
      </c>
      <c r="S402">
        <v>1</v>
      </c>
      <c r="T402" s="89">
        <v>49</v>
      </c>
      <c r="U402">
        <v>2025</v>
      </c>
      <c r="V402" s="90">
        <v>45901</v>
      </c>
      <c r="W402" s="87">
        <v>117738.13000000002</v>
      </c>
      <c r="X402" s="87">
        <v>121972.6</v>
      </c>
      <c r="Y402" s="87">
        <v>-4234.4699999999966</v>
      </c>
    </row>
    <row r="403" spans="1:25">
      <c r="A403" t="s">
        <v>531</v>
      </c>
      <c r="B403" t="s">
        <v>105</v>
      </c>
      <c r="C403" t="s">
        <v>106</v>
      </c>
      <c r="D403" t="s">
        <v>107</v>
      </c>
      <c r="E403" t="s">
        <v>101</v>
      </c>
      <c r="F403" t="s">
        <v>108</v>
      </c>
      <c r="G403" t="s">
        <v>109</v>
      </c>
      <c r="H403" s="1">
        <v>45902</v>
      </c>
      <c r="I403" s="1">
        <v>45904</v>
      </c>
      <c r="J403" s="86">
        <v>4</v>
      </c>
      <c r="K403" s="88">
        <v>47341.65</v>
      </c>
      <c r="L403" s="88">
        <v>49440</v>
      </c>
      <c r="M403" s="1">
        <v>46030</v>
      </c>
      <c r="N403" s="1">
        <v>46028</v>
      </c>
      <c r="O403" s="86">
        <v>4</v>
      </c>
      <c r="P403" t="s">
        <v>32</v>
      </c>
      <c r="Q403">
        <v>1</v>
      </c>
      <c r="R403">
        <v>1</v>
      </c>
      <c r="S403">
        <v>1</v>
      </c>
      <c r="T403" s="89">
        <v>124</v>
      </c>
      <c r="U403">
        <v>2025</v>
      </c>
      <c r="V403" s="90">
        <v>45901</v>
      </c>
      <c r="W403" s="87">
        <v>189366.6</v>
      </c>
      <c r="X403" s="87">
        <v>197760</v>
      </c>
      <c r="Y403" s="87">
        <v>-8393.3999999999942</v>
      </c>
    </row>
    <row r="404" spans="1:25">
      <c r="A404" t="s">
        <v>532</v>
      </c>
      <c r="B404" t="s">
        <v>111</v>
      </c>
      <c r="C404" t="s">
        <v>112</v>
      </c>
      <c r="D404" t="s">
        <v>113</v>
      </c>
      <c r="E404" t="s">
        <v>84</v>
      </c>
      <c r="F404" t="s">
        <v>121</v>
      </c>
      <c r="G404" t="s">
        <v>122</v>
      </c>
      <c r="H404" s="1">
        <v>45901</v>
      </c>
      <c r="I404" s="1">
        <v>45904</v>
      </c>
      <c r="J404" s="86">
        <v>18410732.572999999</v>
      </c>
      <c r="K404" s="88">
        <v>9.6000000000000002E-2</v>
      </c>
      <c r="L404" s="88">
        <v>0.1133</v>
      </c>
      <c r="M404" s="1">
        <v>45974</v>
      </c>
      <c r="N404" s="1">
        <v>45971</v>
      </c>
      <c r="O404" s="86">
        <v>18410732.572999999</v>
      </c>
      <c r="P404" t="s">
        <v>32</v>
      </c>
      <c r="Q404">
        <v>1</v>
      </c>
      <c r="R404">
        <v>1</v>
      </c>
      <c r="S404">
        <v>1</v>
      </c>
      <c r="T404" s="89">
        <v>67</v>
      </c>
      <c r="U404">
        <v>2025</v>
      </c>
      <c r="V404" s="90">
        <v>45901</v>
      </c>
      <c r="W404" s="87">
        <v>1767430.3270079999</v>
      </c>
      <c r="X404" s="87">
        <v>2085936.0005208999</v>
      </c>
      <c r="Y404" s="87">
        <v>-318505.6735128999</v>
      </c>
    </row>
    <row r="405" spans="1:25">
      <c r="A405" t="s">
        <v>533</v>
      </c>
      <c r="B405" t="s">
        <v>117</v>
      </c>
      <c r="C405" t="s">
        <v>118</v>
      </c>
      <c r="D405" t="s">
        <v>119</v>
      </c>
      <c r="E405" t="s">
        <v>120</v>
      </c>
      <c r="F405" t="s">
        <v>137</v>
      </c>
      <c r="G405" t="s">
        <v>138</v>
      </c>
      <c r="H405" s="1">
        <v>45903</v>
      </c>
      <c r="I405" s="1">
        <v>45904</v>
      </c>
      <c r="J405" s="86">
        <v>11012290.362</v>
      </c>
      <c r="K405" s="88">
        <v>4.0000000000000001E-3</v>
      </c>
      <c r="L405" s="88">
        <v>4.1000000000000003E-3</v>
      </c>
      <c r="M405" s="1">
        <v>45939</v>
      </c>
      <c r="N405" s="1">
        <v>45939</v>
      </c>
      <c r="O405" s="86">
        <v>11012290.362</v>
      </c>
      <c r="P405" t="s">
        <v>32</v>
      </c>
      <c r="Q405">
        <v>1</v>
      </c>
      <c r="R405">
        <v>1</v>
      </c>
      <c r="S405">
        <v>1</v>
      </c>
      <c r="T405" s="89">
        <v>35</v>
      </c>
      <c r="U405">
        <v>2025</v>
      </c>
      <c r="V405" s="90">
        <v>45901</v>
      </c>
      <c r="W405" s="87">
        <v>44049.161447999999</v>
      </c>
      <c r="X405" s="87">
        <v>45150.390484200005</v>
      </c>
      <c r="Y405" s="87">
        <v>-1101.2290362000028</v>
      </c>
    </row>
    <row r="406" spans="1:25">
      <c r="A406" t="s">
        <v>534</v>
      </c>
      <c r="B406" t="s">
        <v>124</v>
      </c>
      <c r="C406" t="s">
        <v>125</v>
      </c>
      <c r="D406" t="s">
        <v>119</v>
      </c>
      <c r="E406" t="s">
        <v>126</v>
      </c>
      <c r="F406" t="s">
        <v>121</v>
      </c>
      <c r="G406" t="s">
        <v>122</v>
      </c>
      <c r="H406" s="1">
        <v>45902</v>
      </c>
      <c r="I406" s="1">
        <v>45904</v>
      </c>
      <c r="J406" s="86">
        <v>6423836.0449999999</v>
      </c>
      <c r="K406" s="88">
        <v>2.06E-2</v>
      </c>
      <c r="L406" s="88">
        <v>2.06E-2</v>
      </c>
      <c r="M406" s="1">
        <v>45939</v>
      </c>
      <c r="N406" s="1">
        <v>45939</v>
      </c>
      <c r="O406" s="86">
        <v>6423836.0449999999</v>
      </c>
      <c r="P406" t="s">
        <v>32</v>
      </c>
      <c r="Q406">
        <v>1</v>
      </c>
      <c r="R406">
        <v>1</v>
      </c>
      <c r="S406">
        <v>1</v>
      </c>
      <c r="T406" s="89">
        <v>35</v>
      </c>
      <c r="U406">
        <v>2025</v>
      </c>
      <c r="V406" s="90">
        <v>45901</v>
      </c>
      <c r="W406" s="87">
        <v>132331.02252699999</v>
      </c>
      <c r="X406" s="87">
        <v>132331.02252699999</v>
      </c>
      <c r="Y406" s="87">
        <v>0</v>
      </c>
    </row>
    <row r="407" spans="1:25">
      <c r="A407" t="s">
        <v>535</v>
      </c>
      <c r="B407" t="s">
        <v>140</v>
      </c>
      <c r="C407" t="s">
        <v>141</v>
      </c>
      <c r="D407" t="s">
        <v>142</v>
      </c>
      <c r="E407" t="s">
        <v>84</v>
      </c>
      <c r="F407" t="s">
        <v>143</v>
      </c>
      <c r="G407" t="s">
        <v>144</v>
      </c>
      <c r="H407" s="1">
        <v>45901</v>
      </c>
      <c r="I407" s="1">
        <v>45902</v>
      </c>
      <c r="J407" s="86">
        <v>21771820.098999999</v>
      </c>
      <c r="K407" s="88">
        <v>1.0699999999999999E-2</v>
      </c>
      <c r="L407" s="88">
        <v>1.24E-2</v>
      </c>
      <c r="M407" s="1">
        <v>45916</v>
      </c>
      <c r="N407" s="1">
        <v>45916</v>
      </c>
      <c r="O407" s="86">
        <v>21771820.098999999</v>
      </c>
      <c r="P407" t="s">
        <v>32</v>
      </c>
      <c r="Q407">
        <v>1</v>
      </c>
      <c r="R407">
        <v>1</v>
      </c>
      <c r="S407">
        <v>1</v>
      </c>
      <c r="T407" s="89">
        <v>14</v>
      </c>
      <c r="U407">
        <v>2025</v>
      </c>
      <c r="V407" s="90">
        <v>45901</v>
      </c>
      <c r="W407" s="87">
        <v>232958.47505929999</v>
      </c>
      <c r="X407" s="87">
        <v>269970.5692276</v>
      </c>
      <c r="Y407" s="87">
        <v>-37012.094168299998</v>
      </c>
    </row>
    <row r="408" spans="1:25">
      <c r="A408" t="s">
        <v>536</v>
      </c>
      <c r="B408" t="s">
        <v>41</v>
      </c>
      <c r="C408" t="s">
        <v>42</v>
      </c>
      <c r="D408" t="s">
        <v>43</v>
      </c>
      <c r="E408" t="s">
        <v>37</v>
      </c>
      <c r="F408" t="s">
        <v>44</v>
      </c>
      <c r="G408" t="s">
        <v>45</v>
      </c>
      <c r="H408" s="1">
        <v>45910</v>
      </c>
      <c r="I408" s="1">
        <v>45913</v>
      </c>
      <c r="J408" s="86">
        <v>42847.858999999997</v>
      </c>
      <c r="K408" s="88">
        <v>8.7200000000000006</v>
      </c>
      <c r="L408" s="88">
        <v>9.7799999999999994</v>
      </c>
      <c r="M408" s="1">
        <v>45934</v>
      </c>
      <c r="N408" s="1">
        <v>45931</v>
      </c>
      <c r="O408" s="86">
        <v>42847.858999999997</v>
      </c>
      <c r="P408" t="s">
        <v>32</v>
      </c>
      <c r="Q408">
        <v>1</v>
      </c>
      <c r="R408">
        <v>1</v>
      </c>
      <c r="S408">
        <v>1</v>
      </c>
      <c r="T408" s="89">
        <v>18</v>
      </c>
      <c r="U408">
        <v>2025</v>
      </c>
      <c r="V408" s="90">
        <v>45901</v>
      </c>
      <c r="W408" s="87">
        <v>373633.33048</v>
      </c>
      <c r="X408" s="87">
        <v>419052.06101999996</v>
      </c>
      <c r="Y408" s="87">
        <v>-45418.730539999939</v>
      </c>
    </row>
    <row r="409" spans="1:25">
      <c r="A409" t="s">
        <v>537</v>
      </c>
      <c r="B409" t="s">
        <v>73</v>
      </c>
      <c r="C409" t="s">
        <v>74</v>
      </c>
      <c r="D409" t="s">
        <v>43</v>
      </c>
      <c r="E409" t="s">
        <v>37</v>
      </c>
      <c r="F409" t="s">
        <v>70</v>
      </c>
      <c r="G409" t="s">
        <v>71</v>
      </c>
      <c r="H409" s="1">
        <v>45909</v>
      </c>
      <c r="I409" s="1">
        <v>45913</v>
      </c>
      <c r="J409" s="86">
        <v>59633.184000000001</v>
      </c>
      <c r="K409" s="88">
        <v>6.86</v>
      </c>
      <c r="L409" s="88">
        <v>7</v>
      </c>
      <c r="M409" s="1">
        <v>45934</v>
      </c>
      <c r="N409" s="1">
        <v>45931</v>
      </c>
      <c r="O409" s="86">
        <v>59633.184000000001</v>
      </c>
      <c r="P409" t="s">
        <v>32</v>
      </c>
      <c r="Q409">
        <v>1</v>
      </c>
      <c r="R409">
        <v>1</v>
      </c>
      <c r="S409">
        <v>1</v>
      </c>
      <c r="T409" s="89">
        <v>18</v>
      </c>
      <c r="U409">
        <v>2025</v>
      </c>
      <c r="V409" s="90">
        <v>45901</v>
      </c>
      <c r="W409" s="87">
        <v>409083.64224000002</v>
      </c>
      <c r="X409" s="87">
        <v>417432.288</v>
      </c>
      <c r="Y409" s="87">
        <v>-8348.6457599999812</v>
      </c>
    </row>
    <row r="410" spans="1:25">
      <c r="A410" t="s">
        <v>538</v>
      </c>
      <c r="B410" t="s">
        <v>82</v>
      </c>
      <c r="C410" t="s">
        <v>83</v>
      </c>
      <c r="D410" t="s">
        <v>78</v>
      </c>
      <c r="E410" t="s">
        <v>84</v>
      </c>
      <c r="F410" t="s">
        <v>79</v>
      </c>
      <c r="G410" t="s">
        <v>80</v>
      </c>
      <c r="H410" s="1">
        <v>45908</v>
      </c>
      <c r="I410" s="1">
        <v>45910</v>
      </c>
      <c r="J410" s="86">
        <v>285.91399999999999</v>
      </c>
      <c r="K410" s="88">
        <v>524.5</v>
      </c>
      <c r="L410" s="88">
        <v>535.6</v>
      </c>
      <c r="M410" s="1">
        <v>45945</v>
      </c>
      <c r="N410" s="1">
        <v>45944</v>
      </c>
      <c r="O410" s="86">
        <v>285.91399999999999</v>
      </c>
      <c r="P410" t="s">
        <v>32</v>
      </c>
      <c r="Q410">
        <v>1</v>
      </c>
      <c r="R410">
        <v>1</v>
      </c>
      <c r="S410">
        <v>1</v>
      </c>
      <c r="T410" s="89">
        <v>34</v>
      </c>
      <c r="U410">
        <v>2025</v>
      </c>
      <c r="V410" s="90">
        <v>45901</v>
      </c>
      <c r="W410" s="87">
        <v>149961.89299999998</v>
      </c>
      <c r="X410" s="87">
        <v>153135.53839999999</v>
      </c>
      <c r="Y410" s="87">
        <v>-3173.6454000000062</v>
      </c>
    </row>
    <row r="411" spans="1:25">
      <c r="A411" t="s">
        <v>539</v>
      </c>
      <c r="B411" t="s">
        <v>134</v>
      </c>
      <c r="C411" t="s">
        <v>135</v>
      </c>
      <c r="D411" t="s">
        <v>136</v>
      </c>
      <c r="E411" t="s">
        <v>101</v>
      </c>
      <c r="F411" t="s">
        <v>137</v>
      </c>
      <c r="G411" t="s">
        <v>138</v>
      </c>
      <c r="H411" s="1">
        <v>45908</v>
      </c>
      <c r="I411" s="1">
        <v>45911</v>
      </c>
      <c r="J411" s="86">
        <v>61388.616000000002</v>
      </c>
      <c r="K411" s="88">
        <v>7.22</v>
      </c>
      <c r="L411" s="88">
        <v>6.7</v>
      </c>
      <c r="M411" s="1">
        <v>45925</v>
      </c>
      <c r="N411" s="1">
        <v>45925</v>
      </c>
      <c r="O411" s="86">
        <v>61388.616000000002</v>
      </c>
      <c r="P411" t="s">
        <v>213</v>
      </c>
      <c r="Q411">
        <v>1</v>
      </c>
      <c r="R411">
        <v>1</v>
      </c>
      <c r="S411">
        <v>1</v>
      </c>
      <c r="T411" s="89">
        <v>14</v>
      </c>
      <c r="U411">
        <v>2025</v>
      </c>
      <c r="V411" s="90">
        <v>45901</v>
      </c>
      <c r="W411" s="87">
        <v>443225.80751999997</v>
      </c>
      <c r="X411" s="87">
        <v>411303.72720000002</v>
      </c>
      <c r="Y411" s="87">
        <v>31922.080319999975</v>
      </c>
    </row>
    <row r="412" spans="1:25">
      <c r="A412" t="s">
        <v>540</v>
      </c>
      <c r="B412" t="s">
        <v>34</v>
      </c>
      <c r="C412" t="s">
        <v>35</v>
      </c>
      <c r="D412" t="s">
        <v>36</v>
      </c>
      <c r="E412" t="s">
        <v>37</v>
      </c>
      <c r="F412" t="s">
        <v>38</v>
      </c>
      <c r="G412" t="s">
        <v>39</v>
      </c>
      <c r="H412" s="1">
        <v>45915</v>
      </c>
      <c r="I412" s="1">
        <v>45919</v>
      </c>
      <c r="J412" s="86">
        <v>762.64200000000005</v>
      </c>
      <c r="K412" s="88">
        <v>2383.59</v>
      </c>
      <c r="L412" s="88">
        <v>2472</v>
      </c>
      <c r="M412" s="1">
        <v>45989</v>
      </c>
      <c r="N412" s="1">
        <v>45988</v>
      </c>
      <c r="O412" s="86">
        <v>762.64200000000005</v>
      </c>
      <c r="P412" t="s">
        <v>32</v>
      </c>
      <c r="Q412">
        <v>1</v>
      </c>
      <c r="R412">
        <v>1</v>
      </c>
      <c r="S412">
        <v>1</v>
      </c>
      <c r="T412" s="89">
        <v>69</v>
      </c>
      <c r="U412">
        <v>2025</v>
      </c>
      <c r="V412" s="90">
        <v>45901</v>
      </c>
      <c r="W412" s="87">
        <v>1817825.8447800002</v>
      </c>
      <c r="X412" s="87">
        <v>1885251.0240000002</v>
      </c>
      <c r="Y412" s="87">
        <v>-67425.179219999889</v>
      </c>
    </row>
    <row r="413" spans="1:25">
      <c r="A413" t="s">
        <v>541</v>
      </c>
      <c r="B413" t="s">
        <v>60</v>
      </c>
      <c r="C413" t="s">
        <v>61</v>
      </c>
      <c r="D413" t="s">
        <v>49</v>
      </c>
      <c r="E413" t="s">
        <v>56</v>
      </c>
      <c r="F413" t="s">
        <v>57</v>
      </c>
      <c r="G413" t="s">
        <v>58</v>
      </c>
      <c r="H413" s="1">
        <v>45915</v>
      </c>
      <c r="I413" s="1">
        <v>45916</v>
      </c>
      <c r="J413" s="86">
        <v>1905.605</v>
      </c>
      <c r="K413" s="88">
        <v>421.51</v>
      </c>
      <c r="L413" s="88">
        <v>434.97</v>
      </c>
      <c r="M413" s="1">
        <v>45958</v>
      </c>
      <c r="N413" s="1">
        <v>45955</v>
      </c>
      <c r="O413" s="86">
        <v>1905.605</v>
      </c>
      <c r="P413" t="s">
        <v>32</v>
      </c>
      <c r="Q413">
        <v>1</v>
      </c>
      <c r="R413">
        <v>1</v>
      </c>
      <c r="S413">
        <v>1</v>
      </c>
      <c r="T413" s="89">
        <v>39</v>
      </c>
      <c r="U413">
        <v>2025</v>
      </c>
      <c r="V413" s="90">
        <v>45901</v>
      </c>
      <c r="W413" s="87">
        <v>803231.56354999996</v>
      </c>
      <c r="X413" s="87">
        <v>828881.00685000001</v>
      </c>
      <c r="Y413" s="87">
        <v>-25649.443300000068</v>
      </c>
    </row>
    <row r="414" spans="1:25">
      <c r="A414" t="s">
        <v>542</v>
      </c>
      <c r="B414" t="s">
        <v>86</v>
      </c>
      <c r="C414" t="s">
        <v>87</v>
      </c>
      <c r="D414" t="s">
        <v>88</v>
      </c>
      <c r="E414" t="s">
        <v>84</v>
      </c>
      <c r="F414" t="s">
        <v>89</v>
      </c>
      <c r="G414" t="s">
        <v>90</v>
      </c>
      <c r="H414" s="1">
        <v>45915</v>
      </c>
      <c r="I414" s="1">
        <v>45916</v>
      </c>
      <c r="J414" s="86">
        <v>14.265000000000001</v>
      </c>
      <c r="K414" s="88">
        <v>9737.25</v>
      </c>
      <c r="L414" s="88">
        <v>9980.7000000000007</v>
      </c>
      <c r="M414" s="1">
        <v>45979</v>
      </c>
      <c r="N414" s="1">
        <v>45979</v>
      </c>
      <c r="O414" s="86">
        <v>14.265000000000001</v>
      </c>
      <c r="P414" t="s">
        <v>32</v>
      </c>
      <c r="Q414">
        <v>1</v>
      </c>
      <c r="R414">
        <v>1</v>
      </c>
      <c r="S414">
        <v>1</v>
      </c>
      <c r="T414" s="89">
        <v>63</v>
      </c>
      <c r="U414">
        <v>2025</v>
      </c>
      <c r="V414" s="90">
        <v>45901</v>
      </c>
      <c r="W414" s="87">
        <v>138901.87125</v>
      </c>
      <c r="X414" s="87">
        <v>142374.68550000002</v>
      </c>
      <c r="Y414" s="87">
        <v>-3472.8142500000104</v>
      </c>
    </row>
    <row r="415" spans="1:25">
      <c r="A415" t="s">
        <v>543</v>
      </c>
      <c r="B415" t="s">
        <v>47</v>
      </c>
      <c r="C415" t="s">
        <v>48</v>
      </c>
      <c r="D415" t="s">
        <v>49</v>
      </c>
      <c r="E415" t="s">
        <v>50</v>
      </c>
      <c r="F415" t="s">
        <v>51</v>
      </c>
      <c r="G415" t="s">
        <v>52</v>
      </c>
      <c r="H415" s="1">
        <v>45923</v>
      </c>
      <c r="I415" s="1">
        <v>45926</v>
      </c>
      <c r="J415" s="86">
        <v>142.93899999999999</v>
      </c>
      <c r="K415" s="88">
        <v>1970.31</v>
      </c>
      <c r="L415" s="88">
        <v>1905.5</v>
      </c>
      <c r="M415" s="1">
        <v>45982</v>
      </c>
      <c r="N415" s="1">
        <v>46008</v>
      </c>
      <c r="O415" s="86">
        <v>142.93899999999999</v>
      </c>
      <c r="P415" t="s">
        <v>32</v>
      </c>
      <c r="Q415">
        <v>0</v>
      </c>
      <c r="R415">
        <v>1</v>
      </c>
      <c r="S415">
        <v>0</v>
      </c>
      <c r="T415" s="89">
        <v>82</v>
      </c>
      <c r="U415">
        <v>2025</v>
      </c>
      <c r="V415" s="90">
        <v>45901</v>
      </c>
      <c r="W415" s="87">
        <v>281634.14108999999</v>
      </c>
      <c r="X415" s="87">
        <v>272370.26449999999</v>
      </c>
      <c r="Y415" s="87">
        <v>9263.8765899999926</v>
      </c>
    </row>
    <row r="416" spans="1:25">
      <c r="A416" t="s">
        <v>544</v>
      </c>
      <c r="B416" t="s">
        <v>54</v>
      </c>
      <c r="C416" t="s">
        <v>55</v>
      </c>
      <c r="D416" t="s">
        <v>49</v>
      </c>
      <c r="E416" t="s">
        <v>56</v>
      </c>
      <c r="F416" t="s">
        <v>65</v>
      </c>
      <c r="G416" t="s">
        <v>66</v>
      </c>
      <c r="H416" s="1">
        <v>45924</v>
      </c>
      <c r="I416" s="1">
        <v>45926</v>
      </c>
      <c r="J416" s="86">
        <v>21416.463</v>
      </c>
      <c r="K416" s="88">
        <v>26.22</v>
      </c>
      <c r="L416" s="88">
        <v>28.84</v>
      </c>
      <c r="M416" s="1">
        <v>45968</v>
      </c>
      <c r="N416" s="1">
        <v>45967</v>
      </c>
      <c r="O416" s="86">
        <v>21416.463</v>
      </c>
      <c r="P416" t="s">
        <v>32</v>
      </c>
      <c r="Q416">
        <v>1</v>
      </c>
      <c r="R416">
        <v>1</v>
      </c>
      <c r="S416">
        <v>1</v>
      </c>
      <c r="T416" s="89">
        <v>41</v>
      </c>
      <c r="U416">
        <v>2025</v>
      </c>
      <c r="V416" s="90">
        <v>45901</v>
      </c>
      <c r="W416" s="87">
        <v>561539.65986000001</v>
      </c>
      <c r="X416" s="87">
        <v>617650.79292000004</v>
      </c>
      <c r="Y416" s="87">
        <v>-56111.133060000022</v>
      </c>
    </row>
    <row r="417" spans="1:25">
      <c r="A417" t="s">
        <v>545</v>
      </c>
      <c r="B417" t="s">
        <v>68</v>
      </c>
      <c r="C417" t="s">
        <v>69</v>
      </c>
      <c r="D417" t="s">
        <v>43</v>
      </c>
      <c r="E417" t="s">
        <v>37</v>
      </c>
      <c r="F417" t="s">
        <v>44</v>
      </c>
      <c r="G417" t="s">
        <v>45</v>
      </c>
      <c r="H417" s="1">
        <v>45922</v>
      </c>
      <c r="I417" s="1">
        <v>45927</v>
      </c>
      <c r="J417" s="86">
        <v>142732.23699999999</v>
      </c>
      <c r="K417" s="88">
        <v>3.94</v>
      </c>
      <c r="L417" s="88">
        <v>4.17</v>
      </c>
      <c r="M417" s="1">
        <v>45948</v>
      </c>
      <c r="N417" s="1">
        <v>45946</v>
      </c>
      <c r="O417" s="86">
        <v>142732.23699999999</v>
      </c>
      <c r="P417" t="s">
        <v>32</v>
      </c>
      <c r="Q417">
        <v>1</v>
      </c>
      <c r="R417">
        <v>1</v>
      </c>
      <c r="S417">
        <v>1</v>
      </c>
      <c r="T417" s="89">
        <v>19</v>
      </c>
      <c r="U417">
        <v>2025</v>
      </c>
      <c r="V417" s="90">
        <v>45901</v>
      </c>
      <c r="W417" s="87">
        <v>562365.01377999992</v>
      </c>
      <c r="X417" s="87">
        <v>595193.42828999995</v>
      </c>
      <c r="Y417" s="87">
        <v>-32828.414509999995</v>
      </c>
    </row>
    <row r="418" spans="1:25">
      <c r="A418" t="s">
        <v>546</v>
      </c>
      <c r="B418" t="s">
        <v>134</v>
      </c>
      <c r="C418" t="s">
        <v>135</v>
      </c>
      <c r="D418" t="s">
        <v>136</v>
      </c>
      <c r="E418" t="s">
        <v>101</v>
      </c>
      <c r="F418" t="s">
        <v>137</v>
      </c>
      <c r="G418" t="s">
        <v>138</v>
      </c>
      <c r="H418" s="1">
        <v>45929</v>
      </c>
      <c r="I418" s="1">
        <v>45933</v>
      </c>
      <c r="J418" s="86">
        <v>56330.987999999998</v>
      </c>
      <c r="K418" s="88">
        <v>6.4</v>
      </c>
      <c r="L418" s="88">
        <v>6.7</v>
      </c>
      <c r="M418" s="1">
        <v>45989</v>
      </c>
      <c r="N418" s="1">
        <v>45987</v>
      </c>
      <c r="O418" s="86">
        <v>56330.987999999998</v>
      </c>
      <c r="P418" t="s">
        <v>32</v>
      </c>
      <c r="Q418">
        <v>1</v>
      </c>
      <c r="R418">
        <v>1</v>
      </c>
      <c r="S418">
        <v>1</v>
      </c>
      <c r="T418" s="89">
        <v>54</v>
      </c>
      <c r="U418">
        <v>2025</v>
      </c>
      <c r="V418" s="90">
        <v>45931</v>
      </c>
      <c r="W418" s="87">
        <v>360518.32319999998</v>
      </c>
      <c r="X418" s="87">
        <v>377417.61959999998</v>
      </c>
      <c r="Y418" s="87">
        <v>-16899.296399999988</v>
      </c>
    </row>
    <row r="419" spans="1:25">
      <c r="A419" t="s">
        <v>547</v>
      </c>
      <c r="B419" t="s">
        <v>26</v>
      </c>
      <c r="C419" t="s">
        <v>27</v>
      </c>
      <c r="D419" t="s">
        <v>28</v>
      </c>
      <c r="E419" t="s">
        <v>29</v>
      </c>
      <c r="F419" t="s">
        <v>149</v>
      </c>
      <c r="G419" t="s">
        <v>150</v>
      </c>
      <c r="H419" s="1">
        <v>45936</v>
      </c>
      <c r="I419" s="1">
        <v>45939</v>
      </c>
      <c r="J419" s="86">
        <v>19200</v>
      </c>
      <c r="K419" s="88">
        <v>105.37</v>
      </c>
      <c r="L419" s="88">
        <v>107.13</v>
      </c>
      <c r="M419" s="1">
        <v>45981</v>
      </c>
      <c r="N419" s="1">
        <v>45994</v>
      </c>
      <c r="O419" s="86">
        <v>19200</v>
      </c>
      <c r="P419" t="s">
        <v>32</v>
      </c>
      <c r="Q419">
        <v>0</v>
      </c>
      <c r="R419">
        <v>1</v>
      </c>
      <c r="S419">
        <v>0</v>
      </c>
      <c r="T419" s="89">
        <v>55</v>
      </c>
      <c r="U419">
        <v>2025</v>
      </c>
      <c r="V419" s="90">
        <v>45931</v>
      </c>
      <c r="W419" s="87">
        <v>2023104</v>
      </c>
      <c r="X419" s="87">
        <v>2056896</v>
      </c>
      <c r="Y419" s="87">
        <v>-33791.999999999825</v>
      </c>
    </row>
    <row r="420" spans="1:25">
      <c r="A420" t="s">
        <v>548</v>
      </c>
      <c r="B420" t="s">
        <v>63</v>
      </c>
      <c r="C420" t="s">
        <v>64</v>
      </c>
      <c r="D420" t="s">
        <v>49</v>
      </c>
      <c r="E420" t="s">
        <v>56</v>
      </c>
      <c r="F420" t="s">
        <v>65</v>
      </c>
      <c r="G420" t="s">
        <v>66</v>
      </c>
      <c r="H420" s="1">
        <v>45938</v>
      </c>
      <c r="I420" s="1">
        <v>45940</v>
      </c>
      <c r="J420" s="86">
        <v>2872.1080000000002</v>
      </c>
      <c r="K420" s="88">
        <v>160.06</v>
      </c>
      <c r="L420" s="88">
        <v>164.8</v>
      </c>
      <c r="M420" s="1">
        <v>45968</v>
      </c>
      <c r="N420" s="1">
        <v>45968</v>
      </c>
      <c r="O420" s="86">
        <v>2872.1080000000002</v>
      </c>
      <c r="P420" t="s">
        <v>32</v>
      </c>
      <c r="Q420">
        <v>1</v>
      </c>
      <c r="R420">
        <v>1</v>
      </c>
      <c r="S420">
        <v>1</v>
      </c>
      <c r="T420" s="89">
        <v>28</v>
      </c>
      <c r="U420">
        <v>2025</v>
      </c>
      <c r="V420" s="90">
        <v>45931</v>
      </c>
      <c r="W420" s="87">
        <v>459709.60648000002</v>
      </c>
      <c r="X420" s="87">
        <v>473323.39840000006</v>
      </c>
      <c r="Y420" s="87">
        <v>-13613.791920000027</v>
      </c>
    </row>
    <row r="421" spans="1:25">
      <c r="A421" t="s">
        <v>549</v>
      </c>
      <c r="B421" t="s">
        <v>76</v>
      </c>
      <c r="C421" t="s">
        <v>77</v>
      </c>
      <c r="D421" t="s">
        <v>78</v>
      </c>
      <c r="E421" t="s">
        <v>37</v>
      </c>
      <c r="F421" t="s">
        <v>44</v>
      </c>
      <c r="G421" t="s">
        <v>45</v>
      </c>
      <c r="H421" s="1">
        <v>45937</v>
      </c>
      <c r="I421" s="1">
        <v>45942</v>
      </c>
      <c r="J421" s="86">
        <v>11521.864</v>
      </c>
      <c r="K421" s="88">
        <v>35.700000000000003</v>
      </c>
      <c r="L421" s="88">
        <v>39.14</v>
      </c>
      <c r="M421" s="1">
        <v>45977</v>
      </c>
      <c r="N421" s="1">
        <v>45975</v>
      </c>
      <c r="O421" s="86">
        <v>11521.864</v>
      </c>
      <c r="P421" t="s">
        <v>32</v>
      </c>
      <c r="Q421">
        <v>1</v>
      </c>
      <c r="R421">
        <v>1</v>
      </c>
      <c r="S421">
        <v>1</v>
      </c>
      <c r="T421" s="89">
        <v>33</v>
      </c>
      <c r="U421">
        <v>2025</v>
      </c>
      <c r="V421" s="90">
        <v>45931</v>
      </c>
      <c r="W421" s="87">
        <v>411330.54480000003</v>
      </c>
      <c r="X421" s="87">
        <v>450965.75695999997</v>
      </c>
      <c r="Y421" s="87">
        <v>-39635.212159999974</v>
      </c>
    </row>
    <row r="422" spans="1:25">
      <c r="A422" t="s">
        <v>550</v>
      </c>
      <c r="B422" t="s">
        <v>92</v>
      </c>
      <c r="C422" t="s">
        <v>93</v>
      </c>
      <c r="D422" t="s">
        <v>94</v>
      </c>
      <c r="E422" t="s">
        <v>56</v>
      </c>
      <c r="F422" t="s">
        <v>95</v>
      </c>
      <c r="G422" t="s">
        <v>96</v>
      </c>
      <c r="H422" s="1">
        <v>45936</v>
      </c>
      <c r="I422" s="1">
        <v>45938</v>
      </c>
      <c r="J422" s="86">
        <v>76.846999999999994</v>
      </c>
      <c r="K422" s="88">
        <v>3967.14</v>
      </c>
      <c r="L422" s="88">
        <v>4017</v>
      </c>
      <c r="M422" s="1">
        <v>46008</v>
      </c>
      <c r="N422" s="1">
        <v>46011</v>
      </c>
      <c r="O422" s="86">
        <v>76.846999999999994</v>
      </c>
      <c r="P422" t="s">
        <v>32</v>
      </c>
      <c r="Q422">
        <v>0</v>
      </c>
      <c r="R422">
        <v>1</v>
      </c>
      <c r="S422">
        <v>0</v>
      </c>
      <c r="T422" s="89">
        <v>73</v>
      </c>
      <c r="U422">
        <v>2025</v>
      </c>
      <c r="V422" s="90">
        <v>45931</v>
      </c>
      <c r="W422" s="87">
        <v>304862.80757999996</v>
      </c>
      <c r="X422" s="87">
        <v>308694.39899999998</v>
      </c>
      <c r="Y422" s="87">
        <v>-3831.5914200000093</v>
      </c>
    </row>
    <row r="423" spans="1:25">
      <c r="A423" t="s">
        <v>551</v>
      </c>
      <c r="B423" t="s">
        <v>98</v>
      </c>
      <c r="C423" t="s">
        <v>99</v>
      </c>
      <c r="D423" t="s">
        <v>100</v>
      </c>
      <c r="E423" t="s">
        <v>101</v>
      </c>
      <c r="F423" t="s">
        <v>102</v>
      </c>
      <c r="G423" t="s">
        <v>103</v>
      </c>
      <c r="H423" s="1">
        <v>45938</v>
      </c>
      <c r="I423" s="1">
        <v>45942</v>
      </c>
      <c r="J423" s="86">
        <v>15.36</v>
      </c>
      <c r="K423" s="88">
        <v>6194.12</v>
      </c>
      <c r="L423" s="88">
        <v>6386</v>
      </c>
      <c r="M423" s="1">
        <v>45991</v>
      </c>
      <c r="N423" s="1">
        <v>45990</v>
      </c>
      <c r="O423" s="86">
        <v>15.36</v>
      </c>
      <c r="P423" t="s">
        <v>32</v>
      </c>
      <c r="Q423">
        <v>1</v>
      </c>
      <c r="R423">
        <v>1</v>
      </c>
      <c r="S423">
        <v>1</v>
      </c>
      <c r="T423" s="89">
        <v>48</v>
      </c>
      <c r="U423">
        <v>2025</v>
      </c>
      <c r="V423" s="90">
        <v>45931</v>
      </c>
      <c r="W423" s="87">
        <v>95141.683199999999</v>
      </c>
      <c r="X423" s="87">
        <v>98088.959999999992</v>
      </c>
      <c r="Y423" s="87">
        <v>-2947.2768000000015</v>
      </c>
    </row>
    <row r="424" spans="1:25">
      <c r="A424" t="s">
        <v>552</v>
      </c>
      <c r="B424" t="s">
        <v>111</v>
      </c>
      <c r="C424" t="s">
        <v>112</v>
      </c>
      <c r="D424" t="s">
        <v>113</v>
      </c>
      <c r="E424" t="s">
        <v>84</v>
      </c>
      <c r="F424" t="s">
        <v>114</v>
      </c>
      <c r="G424" t="s">
        <v>115</v>
      </c>
      <c r="H424" s="1">
        <v>45937</v>
      </c>
      <c r="I424" s="1">
        <v>45940</v>
      </c>
      <c r="J424" s="86">
        <v>20623538.627</v>
      </c>
      <c r="K424" s="88">
        <v>9.5100000000000004E-2</v>
      </c>
      <c r="L424" s="88">
        <v>0.1133</v>
      </c>
      <c r="M424" s="1">
        <v>46010</v>
      </c>
      <c r="N424" s="1">
        <v>46007</v>
      </c>
      <c r="O424" s="86">
        <v>20623538.627</v>
      </c>
      <c r="P424" t="s">
        <v>32</v>
      </c>
      <c r="Q424">
        <v>1</v>
      </c>
      <c r="R424">
        <v>1</v>
      </c>
      <c r="S424">
        <v>1</v>
      </c>
      <c r="T424" s="89">
        <v>67</v>
      </c>
      <c r="U424">
        <v>2025</v>
      </c>
      <c r="V424" s="90">
        <v>45931</v>
      </c>
      <c r="W424" s="87">
        <v>1961298.5234277002</v>
      </c>
      <c r="X424" s="87">
        <v>2336646.9264390999</v>
      </c>
      <c r="Y424" s="87">
        <v>-375348.4030113999</v>
      </c>
    </row>
    <row r="425" spans="1:25">
      <c r="A425" t="s">
        <v>553</v>
      </c>
      <c r="B425" t="s">
        <v>117</v>
      </c>
      <c r="C425" t="s">
        <v>118</v>
      </c>
      <c r="D425" t="s">
        <v>119</v>
      </c>
      <c r="E425" t="s">
        <v>120</v>
      </c>
      <c r="F425" t="s">
        <v>137</v>
      </c>
      <c r="G425" t="s">
        <v>138</v>
      </c>
      <c r="H425" s="1">
        <v>45938</v>
      </c>
      <c r="I425" s="1">
        <v>45939</v>
      </c>
      <c r="J425" s="86">
        <v>12376263.365</v>
      </c>
      <c r="K425" s="88">
        <v>3.8999999999999998E-3</v>
      </c>
      <c r="L425" s="88">
        <v>4.1000000000000003E-3</v>
      </c>
      <c r="M425" s="1">
        <v>45974</v>
      </c>
      <c r="N425" s="1">
        <v>45972</v>
      </c>
      <c r="O425" s="86">
        <v>12376263.365</v>
      </c>
      <c r="P425" t="s">
        <v>32</v>
      </c>
      <c r="Q425">
        <v>1</v>
      </c>
      <c r="R425">
        <v>1</v>
      </c>
      <c r="S425">
        <v>1</v>
      </c>
      <c r="T425" s="89">
        <v>33</v>
      </c>
      <c r="U425">
        <v>2025</v>
      </c>
      <c r="V425" s="90">
        <v>45931</v>
      </c>
      <c r="W425" s="87">
        <v>48267.427123499998</v>
      </c>
      <c r="X425" s="87">
        <v>50742.679796500008</v>
      </c>
      <c r="Y425" s="87">
        <v>-2475.2526730000063</v>
      </c>
    </row>
    <row r="426" spans="1:25">
      <c r="A426" t="s">
        <v>554</v>
      </c>
      <c r="B426" t="s">
        <v>124</v>
      </c>
      <c r="C426" t="s">
        <v>125</v>
      </c>
      <c r="D426" t="s">
        <v>119</v>
      </c>
      <c r="E426" t="s">
        <v>126</v>
      </c>
      <c r="F426" t="s">
        <v>121</v>
      </c>
      <c r="G426" t="s">
        <v>122</v>
      </c>
      <c r="H426" s="1">
        <v>45936</v>
      </c>
      <c r="I426" s="1">
        <v>45937</v>
      </c>
      <c r="J426" s="86">
        <v>7216597.2489999998</v>
      </c>
      <c r="K426" s="88">
        <v>2.0299999999999999E-2</v>
      </c>
      <c r="L426" s="88">
        <v>2.06E-2</v>
      </c>
      <c r="M426" s="1">
        <v>45972</v>
      </c>
      <c r="N426" s="1">
        <v>45971</v>
      </c>
      <c r="O426" s="86">
        <v>7216597.2489999998</v>
      </c>
      <c r="P426" t="s">
        <v>32</v>
      </c>
      <c r="Q426">
        <v>1</v>
      </c>
      <c r="R426">
        <v>1</v>
      </c>
      <c r="S426">
        <v>1</v>
      </c>
      <c r="T426" s="89">
        <v>34</v>
      </c>
      <c r="U426">
        <v>2025</v>
      </c>
      <c r="V426" s="90">
        <v>45931</v>
      </c>
      <c r="W426" s="87">
        <v>146496.92415469998</v>
      </c>
      <c r="X426" s="87">
        <v>148661.9033294</v>
      </c>
      <c r="Y426" s="87">
        <v>-2164.9791747000118</v>
      </c>
    </row>
    <row r="427" spans="1:25">
      <c r="A427" t="s">
        <v>555</v>
      </c>
      <c r="B427" t="s">
        <v>140</v>
      </c>
      <c r="C427" t="s">
        <v>141</v>
      </c>
      <c r="D427" t="s">
        <v>142</v>
      </c>
      <c r="E427" t="s">
        <v>84</v>
      </c>
      <c r="F427" t="s">
        <v>121</v>
      </c>
      <c r="G427" t="s">
        <v>122</v>
      </c>
      <c r="H427" s="1">
        <v>45936</v>
      </c>
      <c r="I427" s="1">
        <v>45937</v>
      </c>
      <c r="J427" s="86">
        <v>20715744.780999999</v>
      </c>
      <c r="K427" s="88">
        <v>1.0800000000000001E-2</v>
      </c>
      <c r="L427" s="88">
        <v>1.24E-2</v>
      </c>
      <c r="M427" s="1">
        <v>45951</v>
      </c>
      <c r="N427" s="1">
        <v>45949</v>
      </c>
      <c r="O427" s="86">
        <v>20715744.780999999</v>
      </c>
      <c r="P427" t="s">
        <v>32</v>
      </c>
      <c r="Q427">
        <v>1</v>
      </c>
      <c r="R427">
        <v>1</v>
      </c>
      <c r="S427">
        <v>1</v>
      </c>
      <c r="T427" s="89">
        <v>12</v>
      </c>
      <c r="U427">
        <v>2025</v>
      </c>
      <c r="V427" s="90">
        <v>45931</v>
      </c>
      <c r="W427" s="87">
        <v>223730.04363480001</v>
      </c>
      <c r="X427" s="87">
        <v>256875.2352844</v>
      </c>
      <c r="Y427" s="87">
        <v>-33145.191649599976</v>
      </c>
    </row>
    <row r="428" spans="1:25">
      <c r="A428" t="s">
        <v>556</v>
      </c>
      <c r="B428" t="s">
        <v>41</v>
      </c>
      <c r="C428" t="s">
        <v>42</v>
      </c>
      <c r="D428" t="s">
        <v>43</v>
      </c>
      <c r="E428" t="s">
        <v>37</v>
      </c>
      <c r="F428" t="s">
        <v>70</v>
      </c>
      <c r="G428" t="s">
        <v>71</v>
      </c>
      <c r="H428" s="1">
        <v>45943</v>
      </c>
      <c r="I428" s="1">
        <v>45945</v>
      </c>
      <c r="J428" s="86">
        <v>34740.370000000003</v>
      </c>
      <c r="K428" s="88">
        <v>8.84</v>
      </c>
      <c r="L428" s="88">
        <v>9.7799999999999994</v>
      </c>
      <c r="M428" s="1">
        <v>45966</v>
      </c>
      <c r="N428" s="1">
        <v>45964</v>
      </c>
      <c r="O428" s="86">
        <v>34740.370000000003</v>
      </c>
      <c r="P428" t="s">
        <v>32</v>
      </c>
      <c r="Q428">
        <v>1</v>
      </c>
      <c r="R428">
        <v>1</v>
      </c>
      <c r="S428">
        <v>1</v>
      </c>
      <c r="T428" s="89">
        <v>19</v>
      </c>
      <c r="U428">
        <v>2025</v>
      </c>
      <c r="V428" s="90">
        <v>45931</v>
      </c>
      <c r="W428" s="87">
        <v>307104.87080000003</v>
      </c>
      <c r="X428" s="87">
        <v>339760.8186</v>
      </c>
      <c r="Y428" s="87">
        <v>-32655.947799999984</v>
      </c>
    </row>
    <row r="429" spans="1:25">
      <c r="A429" t="s">
        <v>557</v>
      </c>
      <c r="B429" t="s">
        <v>73</v>
      </c>
      <c r="C429" t="s">
        <v>74</v>
      </c>
      <c r="D429" t="s">
        <v>43</v>
      </c>
      <c r="E429" t="s">
        <v>37</v>
      </c>
      <c r="F429" t="s">
        <v>70</v>
      </c>
      <c r="G429" t="s">
        <v>71</v>
      </c>
      <c r="H429" s="1">
        <v>45944</v>
      </c>
      <c r="I429" s="1">
        <v>45947</v>
      </c>
      <c r="J429" s="86">
        <v>48181.582999999999</v>
      </c>
      <c r="K429" s="88">
        <v>6.79</v>
      </c>
      <c r="L429" s="88">
        <v>7</v>
      </c>
      <c r="M429" s="1">
        <v>45968</v>
      </c>
      <c r="N429" s="1">
        <v>45967</v>
      </c>
      <c r="O429" s="86">
        <v>48181.582999999999</v>
      </c>
      <c r="P429" t="s">
        <v>32</v>
      </c>
      <c r="Q429">
        <v>1</v>
      </c>
      <c r="R429">
        <v>1</v>
      </c>
      <c r="S429">
        <v>1</v>
      </c>
      <c r="T429" s="89">
        <v>20</v>
      </c>
      <c r="U429">
        <v>2025</v>
      </c>
      <c r="V429" s="90">
        <v>45931</v>
      </c>
      <c r="W429" s="87">
        <v>327152.94857000001</v>
      </c>
      <c r="X429" s="87">
        <v>337271.08100000001</v>
      </c>
      <c r="Y429" s="87">
        <v>-10118.132429999998</v>
      </c>
    </row>
    <row r="430" spans="1:25">
      <c r="A430" t="s">
        <v>558</v>
      </c>
      <c r="B430" t="s">
        <v>82</v>
      </c>
      <c r="C430" t="s">
        <v>83</v>
      </c>
      <c r="D430" t="s">
        <v>78</v>
      </c>
      <c r="E430" t="s">
        <v>84</v>
      </c>
      <c r="F430" t="s">
        <v>79</v>
      </c>
      <c r="G430" t="s">
        <v>80</v>
      </c>
      <c r="H430" s="1">
        <v>45945</v>
      </c>
      <c r="I430" s="1">
        <v>45946</v>
      </c>
      <c r="J430" s="86">
        <v>231.726</v>
      </c>
      <c r="K430" s="88">
        <v>519.45000000000005</v>
      </c>
      <c r="L430" s="88">
        <v>535.6</v>
      </c>
      <c r="M430" s="1">
        <v>45981</v>
      </c>
      <c r="N430" s="1">
        <v>45981</v>
      </c>
      <c r="O430" s="86">
        <v>211.006</v>
      </c>
      <c r="P430" t="s">
        <v>32</v>
      </c>
      <c r="Q430">
        <v>1</v>
      </c>
      <c r="R430">
        <v>0</v>
      </c>
      <c r="S430">
        <v>0</v>
      </c>
      <c r="T430" s="89">
        <v>35</v>
      </c>
      <c r="U430">
        <v>2025</v>
      </c>
      <c r="V430" s="90">
        <v>45931</v>
      </c>
      <c r="W430" s="87">
        <v>109607.06670000001</v>
      </c>
      <c r="X430" s="87">
        <v>113014.81360000001</v>
      </c>
      <c r="Y430" s="87">
        <v>-3407.7468999999951</v>
      </c>
    </row>
    <row r="431" spans="1:25">
      <c r="A431" t="s">
        <v>559</v>
      </c>
      <c r="B431" t="s">
        <v>105</v>
      </c>
      <c r="C431" t="s">
        <v>106</v>
      </c>
      <c r="D431" t="s">
        <v>107</v>
      </c>
      <c r="E431" t="s">
        <v>101</v>
      </c>
      <c r="F431" t="s">
        <v>108</v>
      </c>
      <c r="G431" t="s">
        <v>109</v>
      </c>
      <c r="H431" s="1">
        <v>45943</v>
      </c>
      <c r="I431" s="1">
        <v>45945</v>
      </c>
      <c r="J431" s="86">
        <v>2.4780000000000002</v>
      </c>
      <c r="K431" s="88">
        <v>52786.75</v>
      </c>
      <c r="L431" s="88">
        <v>49440</v>
      </c>
      <c r="M431" s="1">
        <v>45987</v>
      </c>
      <c r="N431" s="1">
        <v>45986</v>
      </c>
      <c r="O431" s="86">
        <v>2.4780000000000002</v>
      </c>
      <c r="P431" t="s">
        <v>213</v>
      </c>
      <c r="Q431">
        <v>1</v>
      </c>
      <c r="R431">
        <v>1</v>
      </c>
      <c r="S431">
        <v>1</v>
      </c>
      <c r="T431" s="89">
        <v>41</v>
      </c>
      <c r="U431">
        <v>2025</v>
      </c>
      <c r="V431" s="90">
        <v>45931</v>
      </c>
      <c r="W431" s="87">
        <v>130805.56650000002</v>
      </c>
      <c r="X431" s="87">
        <v>122512.32000000001</v>
      </c>
      <c r="Y431" s="87">
        <v>8293.2465000000011</v>
      </c>
    </row>
    <row r="432" spans="1:25">
      <c r="A432" t="s">
        <v>560</v>
      </c>
      <c r="B432" t="s">
        <v>128</v>
      </c>
      <c r="C432" t="s">
        <v>129</v>
      </c>
      <c r="D432" t="s">
        <v>130</v>
      </c>
      <c r="E432" t="s">
        <v>84</v>
      </c>
      <c r="F432" t="s">
        <v>131</v>
      </c>
      <c r="G432" t="s">
        <v>132</v>
      </c>
      <c r="H432" s="1">
        <v>45943</v>
      </c>
      <c r="I432" s="1">
        <v>45946</v>
      </c>
      <c r="J432" s="86">
        <v>2.9980000000000002</v>
      </c>
      <c r="K432" s="88">
        <v>64427.92</v>
      </c>
      <c r="L432" s="88">
        <v>66950</v>
      </c>
      <c r="M432" s="1">
        <v>46016</v>
      </c>
      <c r="N432" s="1">
        <v>46014</v>
      </c>
      <c r="O432" s="86">
        <v>2.8290000000000002</v>
      </c>
      <c r="P432" t="s">
        <v>32</v>
      </c>
      <c r="Q432">
        <v>1</v>
      </c>
      <c r="R432">
        <v>0</v>
      </c>
      <c r="S432">
        <v>0</v>
      </c>
      <c r="T432" s="89">
        <v>68</v>
      </c>
      <c r="U432">
        <v>2025</v>
      </c>
      <c r="V432" s="90">
        <v>45931</v>
      </c>
      <c r="W432" s="87">
        <v>182266.58568000002</v>
      </c>
      <c r="X432" s="87">
        <v>189401.55000000002</v>
      </c>
      <c r="Y432" s="87">
        <v>-7134.9643200000055</v>
      </c>
    </row>
    <row r="433" spans="1:25">
      <c r="A433" t="s">
        <v>561</v>
      </c>
      <c r="B433" t="s">
        <v>34</v>
      </c>
      <c r="C433" t="s">
        <v>35</v>
      </c>
      <c r="D433" t="s">
        <v>36</v>
      </c>
      <c r="E433" t="s">
        <v>37</v>
      </c>
      <c r="F433" t="s">
        <v>515</v>
      </c>
      <c r="G433" t="s">
        <v>516</v>
      </c>
      <c r="H433" s="1">
        <v>45952</v>
      </c>
      <c r="I433" s="1">
        <v>45953</v>
      </c>
      <c r="J433" s="86">
        <v>678.149</v>
      </c>
      <c r="K433" s="88">
        <v>2379.29</v>
      </c>
      <c r="L433" s="88">
        <v>2472</v>
      </c>
      <c r="M433" s="1">
        <v>46023</v>
      </c>
      <c r="N433" s="1">
        <v>46023</v>
      </c>
      <c r="O433" s="86">
        <v>604.88300000000004</v>
      </c>
      <c r="P433" t="s">
        <v>32</v>
      </c>
      <c r="Q433">
        <v>1</v>
      </c>
      <c r="R433">
        <v>0</v>
      </c>
      <c r="S433">
        <v>0</v>
      </c>
      <c r="T433" s="89">
        <v>70</v>
      </c>
      <c r="U433">
        <v>2025</v>
      </c>
      <c r="V433" s="90">
        <v>45931</v>
      </c>
      <c r="W433" s="87">
        <v>1439192.0730700002</v>
      </c>
      <c r="X433" s="87">
        <v>1495270.7760000001</v>
      </c>
      <c r="Y433" s="87">
        <v>-56078.702930000029</v>
      </c>
    </row>
    <row r="434" spans="1:25">
      <c r="A434" t="s">
        <v>562</v>
      </c>
      <c r="B434" t="s">
        <v>60</v>
      </c>
      <c r="C434" t="s">
        <v>61</v>
      </c>
      <c r="D434" t="s">
        <v>49</v>
      </c>
      <c r="E434" t="s">
        <v>56</v>
      </c>
      <c r="F434" t="s">
        <v>57</v>
      </c>
      <c r="G434" t="s">
        <v>58</v>
      </c>
      <c r="H434" s="1">
        <v>45951</v>
      </c>
      <c r="I434" s="1">
        <v>45954</v>
      </c>
      <c r="J434" s="86">
        <v>1547.2560000000001</v>
      </c>
      <c r="K434" s="88">
        <v>417.37</v>
      </c>
      <c r="L434" s="88">
        <v>434.97</v>
      </c>
      <c r="M434" s="1">
        <v>45996</v>
      </c>
      <c r="N434" s="1">
        <v>45994</v>
      </c>
      <c r="O434" s="86">
        <v>1547.2560000000001</v>
      </c>
      <c r="P434" t="s">
        <v>32</v>
      </c>
      <c r="Q434">
        <v>1</v>
      </c>
      <c r="R434">
        <v>1</v>
      </c>
      <c r="S434">
        <v>1</v>
      </c>
      <c r="T434" s="89">
        <v>40</v>
      </c>
      <c r="U434">
        <v>2025</v>
      </c>
      <c r="V434" s="90">
        <v>45931</v>
      </c>
      <c r="W434" s="87">
        <v>645778.23672000004</v>
      </c>
      <c r="X434" s="87">
        <v>673009.94232000003</v>
      </c>
      <c r="Y434" s="87">
        <v>-27231.705600000038</v>
      </c>
    </row>
    <row r="435" spans="1:25">
      <c r="A435" t="s">
        <v>563</v>
      </c>
      <c r="B435" t="s">
        <v>86</v>
      </c>
      <c r="C435" t="s">
        <v>87</v>
      </c>
      <c r="D435" t="s">
        <v>88</v>
      </c>
      <c r="E435" t="s">
        <v>84</v>
      </c>
      <c r="F435" t="s">
        <v>89</v>
      </c>
      <c r="G435" t="s">
        <v>90</v>
      </c>
      <c r="H435" s="1">
        <v>45952</v>
      </c>
      <c r="I435" s="1">
        <v>45955</v>
      </c>
      <c r="J435" s="86">
        <v>11.595000000000001</v>
      </c>
      <c r="K435" s="88">
        <v>9471.5300000000007</v>
      </c>
      <c r="L435" s="88">
        <v>9980.7000000000007</v>
      </c>
      <c r="M435" s="1">
        <v>46018</v>
      </c>
      <c r="N435" s="1">
        <v>46017</v>
      </c>
      <c r="O435" s="86">
        <v>11.595000000000001</v>
      </c>
      <c r="P435" t="s">
        <v>32</v>
      </c>
      <c r="Q435">
        <v>1</v>
      </c>
      <c r="R435">
        <v>1</v>
      </c>
      <c r="S435">
        <v>1</v>
      </c>
      <c r="T435" s="89">
        <v>62</v>
      </c>
      <c r="U435">
        <v>2025</v>
      </c>
      <c r="V435" s="90">
        <v>45931</v>
      </c>
      <c r="W435" s="87">
        <v>109822.39035000002</v>
      </c>
      <c r="X435" s="87">
        <v>115726.21650000001</v>
      </c>
      <c r="Y435" s="87">
        <v>-5903.8261500000008</v>
      </c>
    </row>
    <row r="436" spans="1:25">
      <c r="A436" t="s">
        <v>564</v>
      </c>
      <c r="B436" t="s">
        <v>134</v>
      </c>
      <c r="C436" t="s">
        <v>135</v>
      </c>
      <c r="D436" t="s">
        <v>136</v>
      </c>
      <c r="E436" t="s">
        <v>101</v>
      </c>
      <c r="F436" t="s">
        <v>137</v>
      </c>
      <c r="G436" t="s">
        <v>138</v>
      </c>
      <c r="H436" s="1">
        <v>45950</v>
      </c>
      <c r="I436" s="1">
        <v>45952</v>
      </c>
      <c r="J436" s="86">
        <v>60103.904999999999</v>
      </c>
      <c r="K436" s="88">
        <v>6.62</v>
      </c>
      <c r="L436" s="88">
        <v>6.7</v>
      </c>
      <c r="M436" s="1">
        <v>46008</v>
      </c>
      <c r="N436" s="1">
        <v>46007</v>
      </c>
      <c r="O436" s="86">
        <v>60103.904999999999</v>
      </c>
      <c r="P436" t="s">
        <v>32</v>
      </c>
      <c r="Q436">
        <v>1</v>
      </c>
      <c r="R436">
        <v>1</v>
      </c>
      <c r="S436">
        <v>1</v>
      </c>
      <c r="T436" s="89">
        <v>55</v>
      </c>
      <c r="U436">
        <v>2025</v>
      </c>
      <c r="V436" s="90">
        <v>45931</v>
      </c>
      <c r="W436" s="87">
        <v>397887.85109999997</v>
      </c>
      <c r="X436" s="87">
        <v>402696.16350000002</v>
      </c>
      <c r="Y436" s="87">
        <v>-4808.3124000000043</v>
      </c>
    </row>
    <row r="437" spans="1:25">
      <c r="A437" t="s">
        <v>565</v>
      </c>
      <c r="B437" t="s">
        <v>47</v>
      </c>
      <c r="C437" t="s">
        <v>48</v>
      </c>
      <c r="D437" t="s">
        <v>49</v>
      </c>
      <c r="E437" t="s">
        <v>50</v>
      </c>
      <c r="F437" t="s">
        <v>51</v>
      </c>
      <c r="G437" t="s">
        <v>52</v>
      </c>
      <c r="H437" s="1">
        <v>45959</v>
      </c>
      <c r="I437" s="1">
        <v>45961</v>
      </c>
      <c r="J437" s="86">
        <v>116.26</v>
      </c>
      <c r="K437" s="88">
        <v>1993.51</v>
      </c>
      <c r="L437" s="88">
        <v>1905.5</v>
      </c>
      <c r="M437" s="1">
        <v>46017</v>
      </c>
      <c r="N437" s="1">
        <v>46016</v>
      </c>
      <c r="O437" s="86">
        <v>116.26</v>
      </c>
      <c r="P437" t="s">
        <v>32</v>
      </c>
      <c r="Q437">
        <v>1</v>
      </c>
      <c r="R437">
        <v>1</v>
      </c>
      <c r="S437">
        <v>1</v>
      </c>
      <c r="T437" s="89">
        <v>55</v>
      </c>
      <c r="U437">
        <v>2025</v>
      </c>
      <c r="V437" s="90">
        <v>45931</v>
      </c>
      <c r="W437" s="87">
        <v>231765.47260000001</v>
      </c>
      <c r="X437" s="87">
        <v>221533.43000000002</v>
      </c>
      <c r="Y437" s="87">
        <v>10232.042599999999</v>
      </c>
    </row>
    <row r="438" spans="1:25">
      <c r="A438" t="s">
        <v>566</v>
      </c>
      <c r="B438" t="s">
        <v>54</v>
      </c>
      <c r="C438" t="s">
        <v>55</v>
      </c>
      <c r="D438" t="s">
        <v>49</v>
      </c>
      <c r="E438" t="s">
        <v>56</v>
      </c>
      <c r="F438" t="s">
        <v>65</v>
      </c>
      <c r="G438" t="s">
        <v>66</v>
      </c>
      <c r="H438" s="1">
        <v>45959</v>
      </c>
      <c r="I438" s="1">
        <v>45962</v>
      </c>
      <c r="J438" s="86">
        <v>17392.5</v>
      </c>
      <c r="K438" s="88">
        <v>27.13</v>
      </c>
      <c r="L438" s="88">
        <v>28.84</v>
      </c>
      <c r="M438" s="1">
        <v>46004</v>
      </c>
      <c r="N438" s="1">
        <v>46003</v>
      </c>
      <c r="O438" s="86">
        <v>17392.5</v>
      </c>
      <c r="P438" t="s">
        <v>32</v>
      </c>
      <c r="Q438">
        <v>1</v>
      </c>
      <c r="R438">
        <v>1</v>
      </c>
      <c r="S438">
        <v>1</v>
      </c>
      <c r="T438" s="89">
        <v>41</v>
      </c>
      <c r="U438">
        <v>2025</v>
      </c>
      <c r="V438" s="90">
        <v>45962</v>
      </c>
      <c r="W438" s="87">
        <v>471858.52499999997</v>
      </c>
      <c r="X438" s="87">
        <v>501599.7</v>
      </c>
      <c r="Y438" s="87">
        <v>-29741.175000000014</v>
      </c>
    </row>
    <row r="439" spans="1:25">
      <c r="A439" t="s">
        <v>567</v>
      </c>
      <c r="B439" t="s">
        <v>68</v>
      </c>
      <c r="C439" t="s">
        <v>69</v>
      </c>
      <c r="D439" t="s">
        <v>43</v>
      </c>
      <c r="E439" t="s">
        <v>37</v>
      </c>
      <c r="F439" t="s">
        <v>70</v>
      </c>
      <c r="G439" t="s">
        <v>71</v>
      </c>
      <c r="H439" s="1">
        <v>45958</v>
      </c>
      <c r="I439" s="1">
        <v>45959</v>
      </c>
      <c r="J439" s="86">
        <v>116001.489</v>
      </c>
      <c r="K439" s="88">
        <v>3.97</v>
      </c>
      <c r="L439" s="88">
        <v>4.17</v>
      </c>
      <c r="M439" s="1">
        <v>45980</v>
      </c>
      <c r="N439" s="1">
        <v>45978</v>
      </c>
      <c r="O439" s="86">
        <v>116001.489</v>
      </c>
      <c r="P439" t="s">
        <v>32</v>
      </c>
      <c r="Q439">
        <v>1</v>
      </c>
      <c r="R439">
        <v>1</v>
      </c>
      <c r="S439">
        <v>1</v>
      </c>
      <c r="T439" s="89">
        <v>19</v>
      </c>
      <c r="U439">
        <v>2025</v>
      </c>
      <c r="V439" s="90">
        <v>45931</v>
      </c>
      <c r="W439" s="87">
        <v>460525.91133000003</v>
      </c>
      <c r="X439" s="87">
        <v>483726.20912999997</v>
      </c>
      <c r="Y439" s="87">
        <v>-23200.297799999971</v>
      </c>
    </row>
    <row r="440" spans="1:25">
      <c r="A440" t="s">
        <v>568</v>
      </c>
      <c r="B440" t="s">
        <v>26</v>
      </c>
      <c r="C440" t="s">
        <v>27</v>
      </c>
      <c r="D440" t="s">
        <v>28</v>
      </c>
      <c r="E440" t="s">
        <v>29</v>
      </c>
      <c r="F440" t="s">
        <v>149</v>
      </c>
      <c r="G440" t="s">
        <v>150</v>
      </c>
      <c r="H440" s="1">
        <v>45966</v>
      </c>
      <c r="I440" s="1">
        <v>45968</v>
      </c>
      <c r="J440" s="86">
        <v>19212.985000000001</v>
      </c>
      <c r="K440" s="88">
        <v>103.62</v>
      </c>
      <c r="L440" s="88">
        <v>107.13</v>
      </c>
      <c r="M440" s="1">
        <v>46010</v>
      </c>
      <c r="N440" s="1">
        <v>46009</v>
      </c>
      <c r="O440" s="86">
        <v>19212.985000000001</v>
      </c>
      <c r="P440" t="s">
        <v>32</v>
      </c>
      <c r="Q440">
        <v>1</v>
      </c>
      <c r="R440">
        <v>1</v>
      </c>
      <c r="S440">
        <v>1</v>
      </c>
      <c r="T440" s="89">
        <v>41</v>
      </c>
      <c r="U440">
        <v>2025</v>
      </c>
      <c r="V440" s="90">
        <v>45962</v>
      </c>
      <c r="W440" s="87">
        <v>1990849.5057000001</v>
      </c>
      <c r="X440" s="87">
        <v>2058287.08305</v>
      </c>
      <c r="Y440" s="87">
        <v>-67437.577349999832</v>
      </c>
    </row>
    <row r="441" spans="1:25">
      <c r="A441" t="s">
        <v>569</v>
      </c>
      <c r="B441" t="s">
        <v>63</v>
      </c>
      <c r="C441" t="s">
        <v>64</v>
      </c>
      <c r="D441" t="s">
        <v>49</v>
      </c>
      <c r="E441" t="s">
        <v>56</v>
      </c>
      <c r="F441" t="s">
        <v>65</v>
      </c>
      <c r="G441" t="s">
        <v>66</v>
      </c>
      <c r="H441" s="1">
        <v>45964</v>
      </c>
      <c r="I441" s="1">
        <v>45966</v>
      </c>
      <c r="J441" s="86">
        <v>2304.402</v>
      </c>
      <c r="K441" s="88">
        <v>162.27000000000001</v>
      </c>
      <c r="L441" s="88">
        <v>164.8</v>
      </c>
      <c r="M441" s="1">
        <v>45994</v>
      </c>
      <c r="N441" s="1">
        <v>45992</v>
      </c>
      <c r="O441" s="86">
        <v>2304.402</v>
      </c>
      <c r="P441" t="s">
        <v>32</v>
      </c>
      <c r="Q441">
        <v>1</v>
      </c>
      <c r="R441">
        <v>1</v>
      </c>
      <c r="S441">
        <v>1</v>
      </c>
      <c r="T441" s="89">
        <v>26</v>
      </c>
      <c r="U441">
        <v>2025</v>
      </c>
      <c r="V441" s="90">
        <v>45962</v>
      </c>
      <c r="W441" s="87">
        <v>373935.31254000001</v>
      </c>
      <c r="X441" s="87">
        <v>379765.44960000005</v>
      </c>
      <c r="Y441" s="87">
        <v>-5830.1370600000027</v>
      </c>
    </row>
    <row r="442" spans="1:25">
      <c r="A442" t="s">
        <v>570</v>
      </c>
      <c r="B442" t="s">
        <v>76</v>
      </c>
      <c r="C442" t="s">
        <v>77</v>
      </c>
      <c r="D442" t="s">
        <v>78</v>
      </c>
      <c r="E442" t="s">
        <v>37</v>
      </c>
      <c r="F442" t="s">
        <v>44</v>
      </c>
      <c r="G442" t="s">
        <v>45</v>
      </c>
      <c r="H442" s="1">
        <v>45965</v>
      </c>
      <c r="I442" s="1">
        <v>45966</v>
      </c>
      <c r="J442" s="86">
        <v>11520</v>
      </c>
      <c r="K442" s="88">
        <v>34.93</v>
      </c>
      <c r="L442" s="88">
        <v>39.14</v>
      </c>
      <c r="M442" s="1">
        <v>46001</v>
      </c>
      <c r="N442" s="1">
        <v>45999</v>
      </c>
      <c r="O442" s="86">
        <v>11520</v>
      </c>
      <c r="P442" t="s">
        <v>32</v>
      </c>
      <c r="Q442">
        <v>1</v>
      </c>
      <c r="R442">
        <v>1</v>
      </c>
      <c r="S442">
        <v>1</v>
      </c>
      <c r="T442" s="89">
        <v>33</v>
      </c>
      <c r="U442">
        <v>2025</v>
      </c>
      <c r="V442" s="90">
        <v>45962</v>
      </c>
      <c r="W442" s="87">
        <v>402393.59999999998</v>
      </c>
      <c r="X442" s="87">
        <v>450892.79999999999</v>
      </c>
      <c r="Y442" s="87">
        <v>-48499.200000000012</v>
      </c>
    </row>
    <row r="443" spans="1:25">
      <c r="A443" t="s">
        <v>571</v>
      </c>
      <c r="B443" t="s">
        <v>92</v>
      </c>
      <c r="C443" t="s">
        <v>93</v>
      </c>
      <c r="D443" t="s">
        <v>94</v>
      </c>
      <c r="E443" t="s">
        <v>56</v>
      </c>
      <c r="F443" t="s">
        <v>95</v>
      </c>
      <c r="G443" t="s">
        <v>96</v>
      </c>
      <c r="H443" s="1">
        <v>45966</v>
      </c>
      <c r="I443" s="1">
        <v>45968</v>
      </c>
      <c r="J443" s="86">
        <v>76.8</v>
      </c>
      <c r="K443" s="88">
        <v>3965.68</v>
      </c>
      <c r="L443" s="88">
        <v>4017</v>
      </c>
      <c r="M443" s="1">
        <v>46038</v>
      </c>
      <c r="N443" s="1">
        <v>46038</v>
      </c>
      <c r="O443" s="86">
        <v>76.8</v>
      </c>
      <c r="P443" t="s">
        <v>32</v>
      </c>
      <c r="Q443">
        <v>1</v>
      </c>
      <c r="R443">
        <v>1</v>
      </c>
      <c r="S443">
        <v>1</v>
      </c>
      <c r="T443" s="89">
        <v>70</v>
      </c>
      <c r="U443">
        <v>2025</v>
      </c>
      <c r="V443" s="90">
        <v>45962</v>
      </c>
      <c r="W443" s="87">
        <v>304564.22399999999</v>
      </c>
      <c r="X443" s="87">
        <v>308505.59999999998</v>
      </c>
      <c r="Y443" s="87">
        <v>-3941.3760000000125</v>
      </c>
    </row>
    <row r="444" spans="1:25">
      <c r="A444" t="s">
        <v>572</v>
      </c>
      <c r="B444" t="s">
        <v>98</v>
      </c>
      <c r="C444" t="s">
        <v>99</v>
      </c>
      <c r="D444" t="s">
        <v>100</v>
      </c>
      <c r="E444" t="s">
        <v>101</v>
      </c>
      <c r="F444" t="s">
        <v>102</v>
      </c>
      <c r="G444" t="s">
        <v>103</v>
      </c>
      <c r="H444" s="1">
        <v>45964</v>
      </c>
      <c r="I444" s="1">
        <v>45969</v>
      </c>
      <c r="J444" s="86">
        <v>15.36</v>
      </c>
      <c r="K444" s="88">
        <v>6155.45</v>
      </c>
      <c r="L444" s="88">
        <v>6386</v>
      </c>
      <c r="M444" s="1">
        <v>46018</v>
      </c>
      <c r="N444" s="1">
        <v>46024</v>
      </c>
      <c r="O444" s="86">
        <v>15.36</v>
      </c>
      <c r="P444" t="s">
        <v>32</v>
      </c>
      <c r="Q444">
        <v>0</v>
      </c>
      <c r="R444">
        <v>1</v>
      </c>
      <c r="S444">
        <v>0</v>
      </c>
      <c r="T444" s="89">
        <v>55</v>
      </c>
      <c r="U444">
        <v>2025</v>
      </c>
      <c r="V444" s="90">
        <v>45962</v>
      </c>
      <c r="W444" s="87">
        <v>94547.712</v>
      </c>
      <c r="X444" s="87">
        <v>98088.959999999992</v>
      </c>
      <c r="Y444" s="87">
        <v>-3541.2480000000028</v>
      </c>
    </row>
    <row r="445" spans="1:25">
      <c r="A445" t="s">
        <v>573</v>
      </c>
      <c r="B445" t="s">
        <v>111</v>
      </c>
      <c r="C445" t="s">
        <v>112</v>
      </c>
      <c r="D445" t="s">
        <v>113</v>
      </c>
      <c r="E445" t="s">
        <v>84</v>
      </c>
      <c r="F445" t="s">
        <v>121</v>
      </c>
      <c r="G445" t="s">
        <v>122</v>
      </c>
      <c r="H445" s="1">
        <v>45971</v>
      </c>
      <c r="I445" s="1">
        <v>45973</v>
      </c>
      <c r="J445" s="86">
        <v>21330049.478999998</v>
      </c>
      <c r="K445" s="88">
        <v>9.4899999999999998E-2</v>
      </c>
      <c r="L445" s="88">
        <v>0.1133</v>
      </c>
      <c r="M445" s="1">
        <v>46043</v>
      </c>
      <c r="N445" s="1">
        <v>46040</v>
      </c>
      <c r="O445" s="86">
        <v>21330049.478999998</v>
      </c>
      <c r="P445" t="s">
        <v>32</v>
      </c>
      <c r="Q445">
        <v>1</v>
      </c>
      <c r="R445">
        <v>1</v>
      </c>
      <c r="S445">
        <v>1</v>
      </c>
      <c r="T445" s="89">
        <v>67</v>
      </c>
      <c r="U445">
        <v>2025</v>
      </c>
      <c r="V445" s="90">
        <v>45962</v>
      </c>
      <c r="W445" s="87">
        <v>2024221.6955570998</v>
      </c>
      <c r="X445" s="87">
        <v>2416694.6059706998</v>
      </c>
      <c r="Y445" s="87">
        <v>-392472.91041359998</v>
      </c>
    </row>
    <row r="446" spans="1:25">
      <c r="A446" t="s">
        <v>574</v>
      </c>
      <c r="B446" t="s">
        <v>117</v>
      </c>
      <c r="C446" t="s">
        <v>118</v>
      </c>
      <c r="D446" t="s">
        <v>119</v>
      </c>
      <c r="E446" t="s">
        <v>120</v>
      </c>
      <c r="F446" t="s">
        <v>137</v>
      </c>
      <c r="G446" t="s">
        <v>138</v>
      </c>
      <c r="H446" s="1">
        <v>45973</v>
      </c>
      <c r="I446" s="1">
        <v>45974</v>
      </c>
      <c r="J446" s="86">
        <v>12641229.801999999</v>
      </c>
      <c r="K446" s="88">
        <v>4.1000000000000003E-3</v>
      </c>
      <c r="L446" s="88">
        <v>4.1000000000000003E-3</v>
      </c>
      <c r="M446" s="1">
        <v>46009</v>
      </c>
      <c r="N446" s="1">
        <v>46007</v>
      </c>
      <c r="O446" s="86">
        <v>12641229.801999999</v>
      </c>
      <c r="P446" t="s">
        <v>32</v>
      </c>
      <c r="Q446">
        <v>1</v>
      </c>
      <c r="R446">
        <v>1</v>
      </c>
      <c r="S446">
        <v>1</v>
      </c>
      <c r="T446" s="89">
        <v>33</v>
      </c>
      <c r="U446">
        <v>2025</v>
      </c>
      <c r="V446" s="90">
        <v>45962</v>
      </c>
      <c r="W446" s="87">
        <v>51829.042188200001</v>
      </c>
      <c r="X446" s="87">
        <v>51829.042188200001</v>
      </c>
      <c r="Y446" s="87">
        <v>0</v>
      </c>
    </row>
    <row r="447" spans="1:25">
      <c r="A447" t="s">
        <v>575</v>
      </c>
      <c r="B447" t="s">
        <v>124</v>
      </c>
      <c r="C447" t="s">
        <v>125</v>
      </c>
      <c r="D447" t="s">
        <v>119</v>
      </c>
      <c r="E447" t="s">
        <v>126</v>
      </c>
      <c r="F447" t="s">
        <v>121</v>
      </c>
      <c r="G447" t="s">
        <v>122</v>
      </c>
      <c r="H447" s="1">
        <v>45972</v>
      </c>
      <c r="I447" s="1">
        <v>45975</v>
      </c>
      <c r="J447" s="86">
        <v>7377520.6560000004</v>
      </c>
      <c r="K447" s="88">
        <v>2.0199999999999999E-2</v>
      </c>
      <c r="L447" s="88">
        <v>2.06E-2</v>
      </c>
      <c r="M447" s="1">
        <v>46010</v>
      </c>
      <c r="N447" s="1">
        <v>46010</v>
      </c>
      <c r="O447" s="86">
        <v>7377520.6560000004</v>
      </c>
      <c r="P447" t="s">
        <v>32</v>
      </c>
      <c r="Q447">
        <v>1</v>
      </c>
      <c r="R447">
        <v>1</v>
      </c>
      <c r="S447">
        <v>1</v>
      </c>
      <c r="T447" s="89">
        <v>35</v>
      </c>
      <c r="U447">
        <v>2025</v>
      </c>
      <c r="V447" s="90">
        <v>45962</v>
      </c>
      <c r="W447" s="87">
        <v>149025.91725120001</v>
      </c>
      <c r="X447" s="87">
        <v>151976.9255136</v>
      </c>
      <c r="Y447" s="87">
        <v>-2951.0082624000079</v>
      </c>
    </row>
    <row r="448" spans="1:25">
      <c r="A448" t="s">
        <v>576</v>
      </c>
      <c r="B448" t="s">
        <v>134</v>
      </c>
      <c r="C448" t="s">
        <v>135</v>
      </c>
      <c r="D448" t="s">
        <v>136</v>
      </c>
      <c r="E448" t="s">
        <v>101</v>
      </c>
      <c r="F448" t="s">
        <v>137</v>
      </c>
      <c r="G448" t="s">
        <v>138</v>
      </c>
      <c r="H448" s="1">
        <v>45973</v>
      </c>
      <c r="I448" s="1">
        <v>45977</v>
      </c>
      <c r="J448" s="86">
        <v>57616.514999999999</v>
      </c>
      <c r="K448" s="88">
        <v>6.69</v>
      </c>
      <c r="L448" s="88">
        <v>6.7</v>
      </c>
      <c r="M448" s="1">
        <v>46033</v>
      </c>
      <c r="N448" s="1">
        <v>46033</v>
      </c>
      <c r="O448" s="86">
        <v>57616.514999999999</v>
      </c>
      <c r="P448" t="s">
        <v>32</v>
      </c>
      <c r="Q448">
        <v>1</v>
      </c>
      <c r="R448">
        <v>1</v>
      </c>
      <c r="S448">
        <v>1</v>
      </c>
      <c r="T448" s="89">
        <v>56</v>
      </c>
      <c r="U448">
        <v>2025</v>
      </c>
      <c r="V448" s="90">
        <v>45962</v>
      </c>
      <c r="W448" s="87">
        <v>385454.48535000003</v>
      </c>
      <c r="X448" s="87">
        <v>386030.65049999999</v>
      </c>
      <c r="Y448" s="87">
        <v>-576.16514999998776</v>
      </c>
    </row>
    <row r="449" spans="1:25">
      <c r="A449" t="s">
        <v>577</v>
      </c>
      <c r="B449" t="s">
        <v>140</v>
      </c>
      <c r="C449" t="s">
        <v>141</v>
      </c>
      <c r="D449" t="s">
        <v>142</v>
      </c>
      <c r="E449" t="s">
        <v>84</v>
      </c>
      <c r="F449" t="s">
        <v>121</v>
      </c>
      <c r="G449" t="s">
        <v>122</v>
      </c>
      <c r="H449" s="1">
        <v>45973</v>
      </c>
      <c r="I449" s="1">
        <v>45975</v>
      </c>
      <c r="J449" s="86">
        <v>21183221.914999999</v>
      </c>
      <c r="K449" s="88">
        <v>1.0500000000000001E-2</v>
      </c>
      <c r="L449" s="88">
        <v>1.24E-2</v>
      </c>
      <c r="M449" s="1">
        <v>45989</v>
      </c>
      <c r="N449" s="1">
        <v>45992</v>
      </c>
      <c r="O449" s="86">
        <v>21183221.914999999</v>
      </c>
      <c r="P449" t="s">
        <v>32</v>
      </c>
      <c r="Q449">
        <v>0</v>
      </c>
      <c r="R449">
        <v>1</v>
      </c>
      <c r="S449">
        <v>0</v>
      </c>
      <c r="T449" s="89">
        <v>17</v>
      </c>
      <c r="U449">
        <v>2025</v>
      </c>
      <c r="V449" s="90">
        <v>45962</v>
      </c>
      <c r="W449" s="87">
        <v>222423.83010749999</v>
      </c>
      <c r="X449" s="87">
        <v>262671.95174599998</v>
      </c>
      <c r="Y449" s="87">
        <v>-40248.121638499979</v>
      </c>
    </row>
    <row r="450" spans="1:25">
      <c r="A450" t="s">
        <v>578</v>
      </c>
      <c r="B450" t="s">
        <v>41</v>
      </c>
      <c r="C450" t="s">
        <v>42</v>
      </c>
      <c r="D450" t="s">
        <v>43</v>
      </c>
      <c r="E450" t="s">
        <v>37</v>
      </c>
      <c r="F450" t="s">
        <v>44</v>
      </c>
      <c r="G450" t="s">
        <v>45</v>
      </c>
      <c r="H450" s="1">
        <v>45978</v>
      </c>
      <c r="I450" s="1">
        <v>45981</v>
      </c>
      <c r="J450" s="86">
        <v>43138.567000000003</v>
      </c>
      <c r="K450" s="88">
        <v>8.92</v>
      </c>
      <c r="L450" s="88">
        <v>9.7799999999999994</v>
      </c>
      <c r="M450" s="1">
        <v>46002</v>
      </c>
      <c r="N450" s="1">
        <v>46002</v>
      </c>
      <c r="O450" s="86">
        <v>43138.567000000003</v>
      </c>
      <c r="P450" t="s">
        <v>32</v>
      </c>
      <c r="Q450">
        <v>1</v>
      </c>
      <c r="R450">
        <v>1</v>
      </c>
      <c r="S450">
        <v>1</v>
      </c>
      <c r="T450" s="89">
        <v>21</v>
      </c>
      <c r="U450">
        <v>2025</v>
      </c>
      <c r="V450" s="90">
        <v>45962</v>
      </c>
      <c r="W450" s="87">
        <v>384796.01764000003</v>
      </c>
      <c r="X450" s="87">
        <v>421895.18526</v>
      </c>
      <c r="Y450" s="87">
        <v>-37099.167619999978</v>
      </c>
    </row>
    <row r="451" spans="1:25">
      <c r="A451" t="s">
        <v>579</v>
      </c>
      <c r="B451" t="s">
        <v>73</v>
      </c>
      <c r="C451" t="s">
        <v>74</v>
      </c>
      <c r="D451" t="s">
        <v>43</v>
      </c>
      <c r="E451" t="s">
        <v>37</v>
      </c>
      <c r="F451" t="s">
        <v>70</v>
      </c>
      <c r="G451" t="s">
        <v>71</v>
      </c>
      <c r="H451" s="1">
        <v>45980</v>
      </c>
      <c r="I451" s="1">
        <v>45982</v>
      </c>
      <c r="J451" s="86">
        <v>52703.487000000001</v>
      </c>
      <c r="K451" s="88">
        <v>6.88</v>
      </c>
      <c r="L451" s="88">
        <v>7</v>
      </c>
      <c r="M451" s="1">
        <v>46003</v>
      </c>
      <c r="N451" s="1">
        <v>46000</v>
      </c>
      <c r="O451" s="86">
        <v>52703.487000000001</v>
      </c>
      <c r="P451" t="s">
        <v>32</v>
      </c>
      <c r="Q451">
        <v>1</v>
      </c>
      <c r="R451">
        <v>1</v>
      </c>
      <c r="S451">
        <v>1</v>
      </c>
      <c r="T451" s="89">
        <v>18</v>
      </c>
      <c r="U451">
        <v>2025</v>
      </c>
      <c r="V451" s="90">
        <v>45962</v>
      </c>
      <c r="W451" s="87">
        <v>362599.99056000001</v>
      </c>
      <c r="X451" s="87">
        <v>368924.40899999999</v>
      </c>
      <c r="Y451" s="87">
        <v>-6324.4184400000058</v>
      </c>
    </row>
    <row r="452" spans="1:25">
      <c r="A452" t="s">
        <v>580</v>
      </c>
      <c r="B452" t="s">
        <v>82</v>
      </c>
      <c r="C452" t="s">
        <v>83</v>
      </c>
      <c r="D452" t="s">
        <v>78</v>
      </c>
      <c r="E452" t="s">
        <v>84</v>
      </c>
      <c r="F452" t="s">
        <v>79</v>
      </c>
      <c r="G452" t="s">
        <v>80</v>
      </c>
      <c r="H452" s="1">
        <v>45980</v>
      </c>
      <c r="I452" s="1">
        <v>45983</v>
      </c>
      <c r="J452" s="86">
        <v>308.334</v>
      </c>
      <c r="K452" s="88">
        <v>513.26</v>
      </c>
      <c r="L452" s="88">
        <v>535.6</v>
      </c>
      <c r="M452" s="1">
        <v>46018</v>
      </c>
      <c r="N452" s="1">
        <v>46016</v>
      </c>
      <c r="O452" s="86">
        <v>308.334</v>
      </c>
      <c r="P452" t="s">
        <v>32</v>
      </c>
      <c r="Q452">
        <v>1</v>
      </c>
      <c r="R452">
        <v>1</v>
      </c>
      <c r="S452">
        <v>1</v>
      </c>
      <c r="T452" s="89">
        <v>33</v>
      </c>
      <c r="U452">
        <v>2025</v>
      </c>
      <c r="V452" s="90">
        <v>45962</v>
      </c>
      <c r="W452" s="87">
        <v>158255.50883999999</v>
      </c>
      <c r="X452" s="87">
        <v>165143.69040000002</v>
      </c>
      <c r="Y452" s="87">
        <v>-6888.18156000001</v>
      </c>
    </row>
    <row r="453" spans="1:25">
      <c r="A453" t="s">
        <v>581</v>
      </c>
      <c r="B453" t="s">
        <v>105</v>
      </c>
      <c r="C453" t="s">
        <v>106</v>
      </c>
      <c r="D453" t="s">
        <v>107</v>
      </c>
      <c r="E453" t="s">
        <v>101</v>
      </c>
      <c r="F453" t="s">
        <v>108</v>
      </c>
      <c r="G453" t="s">
        <v>109</v>
      </c>
      <c r="H453" s="1">
        <v>45979</v>
      </c>
      <c r="I453" s="1">
        <v>45983</v>
      </c>
      <c r="J453" s="86">
        <v>3.1230000000000002</v>
      </c>
      <c r="K453" s="88">
        <v>46952.71</v>
      </c>
      <c r="L453" s="88">
        <v>49440</v>
      </c>
      <c r="M453" s="1">
        <v>46109</v>
      </c>
      <c r="N453" s="1">
        <v>46108</v>
      </c>
      <c r="O453" s="86">
        <v>3.1230000000000002</v>
      </c>
      <c r="P453" t="s">
        <v>32</v>
      </c>
      <c r="Q453">
        <v>1</v>
      </c>
      <c r="R453">
        <v>1</v>
      </c>
      <c r="S453">
        <v>1</v>
      </c>
      <c r="T453" s="89">
        <v>125</v>
      </c>
      <c r="U453">
        <v>2025</v>
      </c>
      <c r="V453" s="90">
        <v>45962</v>
      </c>
      <c r="W453" s="87">
        <v>146633.31333</v>
      </c>
      <c r="X453" s="87">
        <v>154401.12000000002</v>
      </c>
      <c r="Y453" s="87">
        <v>-7767.8066700000036</v>
      </c>
    </row>
    <row r="454" spans="1:25">
      <c r="A454" t="s">
        <v>582</v>
      </c>
      <c r="B454" t="s">
        <v>34</v>
      </c>
      <c r="C454" t="s">
        <v>35</v>
      </c>
      <c r="D454" t="s">
        <v>36</v>
      </c>
      <c r="E454" t="s">
        <v>37</v>
      </c>
      <c r="F454" t="s">
        <v>38</v>
      </c>
      <c r="G454" t="s">
        <v>39</v>
      </c>
      <c r="H454" s="1">
        <v>45986</v>
      </c>
      <c r="I454" s="1">
        <v>45989</v>
      </c>
      <c r="J454" s="86">
        <v>839.18499999999995</v>
      </c>
      <c r="K454" s="88">
        <v>2364.83</v>
      </c>
      <c r="L454" s="88">
        <v>2472</v>
      </c>
      <c r="M454" s="1">
        <v>46059</v>
      </c>
      <c r="N454" s="1">
        <v>46056</v>
      </c>
      <c r="O454" s="86">
        <v>839.18499999999995</v>
      </c>
      <c r="P454" t="s">
        <v>32</v>
      </c>
      <c r="Q454">
        <v>1</v>
      </c>
      <c r="R454">
        <v>1</v>
      </c>
      <c r="S454">
        <v>1</v>
      </c>
      <c r="T454" s="89">
        <v>67</v>
      </c>
      <c r="U454">
        <v>2025</v>
      </c>
      <c r="V454" s="90">
        <v>45962</v>
      </c>
      <c r="W454" s="87">
        <v>1984529.8635499999</v>
      </c>
      <c r="X454" s="87">
        <v>2074465.3199999998</v>
      </c>
      <c r="Y454" s="87">
        <v>-89935.456450000056</v>
      </c>
    </row>
    <row r="455" spans="1:25">
      <c r="A455" t="s">
        <v>583</v>
      </c>
      <c r="B455" t="s">
        <v>60</v>
      </c>
      <c r="C455" t="s">
        <v>61</v>
      </c>
      <c r="D455" t="s">
        <v>49</v>
      </c>
      <c r="E455" t="s">
        <v>56</v>
      </c>
      <c r="F455" t="s">
        <v>57</v>
      </c>
      <c r="G455" t="s">
        <v>58</v>
      </c>
      <c r="H455" s="1">
        <v>45987</v>
      </c>
      <c r="I455" s="1">
        <v>45991</v>
      </c>
      <c r="J455" s="86">
        <v>1914</v>
      </c>
      <c r="K455" s="88">
        <v>423.33</v>
      </c>
      <c r="L455" s="88">
        <v>434.97</v>
      </c>
      <c r="M455" s="1">
        <v>46033</v>
      </c>
      <c r="N455" s="1">
        <v>46032</v>
      </c>
      <c r="O455" s="86">
        <v>1914</v>
      </c>
      <c r="P455" t="s">
        <v>32</v>
      </c>
      <c r="Q455">
        <v>1</v>
      </c>
      <c r="R455">
        <v>1</v>
      </c>
      <c r="S455">
        <v>1</v>
      </c>
      <c r="T455" s="89">
        <v>41</v>
      </c>
      <c r="U455">
        <v>2025</v>
      </c>
      <c r="V455" s="90">
        <v>45962</v>
      </c>
      <c r="W455" s="87">
        <v>810253.62</v>
      </c>
      <c r="X455" s="87">
        <v>832532.58000000007</v>
      </c>
      <c r="Y455" s="87">
        <v>-22278.960000000083</v>
      </c>
    </row>
    <row r="456" spans="1:25">
      <c r="A456" t="s">
        <v>584</v>
      </c>
      <c r="B456" t="s">
        <v>86</v>
      </c>
      <c r="C456" t="s">
        <v>87</v>
      </c>
      <c r="D456" t="s">
        <v>88</v>
      </c>
      <c r="E456" t="s">
        <v>84</v>
      </c>
      <c r="F456" t="s">
        <v>89</v>
      </c>
      <c r="G456" t="s">
        <v>90</v>
      </c>
      <c r="H456" s="1">
        <v>45985</v>
      </c>
      <c r="I456" s="1">
        <v>45987</v>
      </c>
      <c r="J456" s="86">
        <v>14.355</v>
      </c>
      <c r="K456" s="88">
        <v>9859.75</v>
      </c>
      <c r="L456" s="88">
        <v>9980.7000000000007</v>
      </c>
      <c r="M456" s="1">
        <v>46050</v>
      </c>
      <c r="N456" s="1">
        <v>46047</v>
      </c>
      <c r="O456" s="86">
        <v>14.355</v>
      </c>
      <c r="P456" t="s">
        <v>32</v>
      </c>
      <c r="Q456">
        <v>1</v>
      </c>
      <c r="R456">
        <v>1</v>
      </c>
      <c r="S456">
        <v>1</v>
      </c>
      <c r="T456" s="89">
        <v>60</v>
      </c>
      <c r="U456">
        <v>2025</v>
      </c>
      <c r="V456" s="90">
        <v>45962</v>
      </c>
      <c r="W456" s="87">
        <v>141536.71124999999</v>
      </c>
      <c r="X456" s="87">
        <v>143272.94850000003</v>
      </c>
      <c r="Y456" s="87">
        <v>-1736.2372500000106</v>
      </c>
    </row>
    <row r="457" spans="1:25">
      <c r="A457" t="s">
        <v>585</v>
      </c>
      <c r="B457" t="s">
        <v>47</v>
      </c>
      <c r="C457" t="s">
        <v>48</v>
      </c>
      <c r="D457" t="s">
        <v>49</v>
      </c>
      <c r="E457" t="s">
        <v>50</v>
      </c>
      <c r="F457" t="s">
        <v>51</v>
      </c>
      <c r="G457" t="s">
        <v>52</v>
      </c>
      <c r="H457" s="1">
        <v>45993</v>
      </c>
      <c r="I457" s="1">
        <v>45996</v>
      </c>
      <c r="J457" s="86">
        <v>143.4</v>
      </c>
      <c r="K457" s="88">
        <v>2164.06</v>
      </c>
      <c r="L457" s="88">
        <v>1905.5</v>
      </c>
      <c r="M457" s="1">
        <v>46010</v>
      </c>
      <c r="N457" s="1">
        <v>46008</v>
      </c>
      <c r="O457" s="86">
        <v>143.4</v>
      </c>
      <c r="P457" t="s">
        <v>213</v>
      </c>
      <c r="Q457">
        <v>1</v>
      </c>
      <c r="R457">
        <v>1</v>
      </c>
      <c r="S457">
        <v>1</v>
      </c>
      <c r="T457" s="89">
        <v>12</v>
      </c>
      <c r="U457">
        <v>2025</v>
      </c>
      <c r="V457" s="90">
        <v>45992</v>
      </c>
      <c r="W457" s="87">
        <v>310326.20400000003</v>
      </c>
      <c r="X457" s="87">
        <v>273248.7</v>
      </c>
      <c r="Y457" s="87">
        <v>37077.503999999994</v>
      </c>
    </row>
    <row r="458" spans="1:25">
      <c r="A458" t="s">
        <v>586</v>
      </c>
      <c r="B458" t="s">
        <v>54</v>
      </c>
      <c r="C458" t="s">
        <v>55</v>
      </c>
      <c r="D458" t="s">
        <v>49</v>
      </c>
      <c r="E458" t="s">
        <v>56</v>
      </c>
      <c r="F458" t="s">
        <v>65</v>
      </c>
      <c r="G458" t="s">
        <v>66</v>
      </c>
      <c r="H458" s="1">
        <v>45992</v>
      </c>
      <c r="I458" s="1">
        <v>45994</v>
      </c>
      <c r="J458" s="86">
        <v>21514.986000000001</v>
      </c>
      <c r="K458" s="88">
        <v>26.76</v>
      </c>
      <c r="L458" s="88">
        <v>28.84</v>
      </c>
      <c r="M458" s="1">
        <v>46036</v>
      </c>
      <c r="N458" s="1">
        <v>46034</v>
      </c>
      <c r="O458" s="86">
        <v>21514.986000000001</v>
      </c>
      <c r="P458" t="s">
        <v>32</v>
      </c>
      <c r="Q458">
        <v>1</v>
      </c>
      <c r="R458">
        <v>1</v>
      </c>
      <c r="S458">
        <v>1</v>
      </c>
      <c r="T458" s="89">
        <v>40</v>
      </c>
      <c r="U458">
        <v>2025</v>
      </c>
      <c r="V458" s="90">
        <v>45992</v>
      </c>
      <c r="W458" s="87">
        <v>575741.02536000009</v>
      </c>
      <c r="X458" s="87">
        <v>620492.19624000008</v>
      </c>
      <c r="Y458" s="87">
        <v>-44751.170879999961</v>
      </c>
    </row>
    <row r="459" spans="1:25">
      <c r="A459" t="s">
        <v>587</v>
      </c>
      <c r="B459" t="s">
        <v>68</v>
      </c>
      <c r="C459" t="s">
        <v>69</v>
      </c>
      <c r="D459" t="s">
        <v>43</v>
      </c>
      <c r="E459" t="s">
        <v>37</v>
      </c>
      <c r="F459" t="s">
        <v>70</v>
      </c>
      <c r="G459" t="s">
        <v>71</v>
      </c>
      <c r="H459" s="1">
        <v>45992</v>
      </c>
      <c r="I459" s="1">
        <v>45994</v>
      </c>
      <c r="J459" s="86">
        <v>143491.76999999999</v>
      </c>
      <c r="K459" s="88">
        <v>4.0599999999999996</v>
      </c>
      <c r="L459" s="88">
        <v>4.17</v>
      </c>
      <c r="M459" s="1">
        <v>46015</v>
      </c>
      <c r="N459" s="1">
        <v>46014</v>
      </c>
      <c r="O459" s="86">
        <v>143491.76999999999</v>
      </c>
      <c r="P459" t="s">
        <v>32</v>
      </c>
      <c r="Q459">
        <v>1</v>
      </c>
      <c r="R459">
        <v>1</v>
      </c>
      <c r="S459">
        <v>1</v>
      </c>
      <c r="T459" s="89">
        <v>20</v>
      </c>
      <c r="U459">
        <v>2025</v>
      </c>
      <c r="V459" s="90">
        <v>45992</v>
      </c>
      <c r="W459" s="87">
        <v>582576.5861999999</v>
      </c>
      <c r="X459" s="87">
        <v>598360.68089999992</v>
      </c>
      <c r="Y459" s="87">
        <v>-15784.094700000045</v>
      </c>
    </row>
    <row r="460" spans="1:25">
      <c r="A460" t="s">
        <v>588</v>
      </c>
      <c r="B460" t="s">
        <v>105</v>
      </c>
      <c r="C460" t="s">
        <v>106</v>
      </c>
      <c r="D460" t="s">
        <v>107</v>
      </c>
      <c r="E460" t="s">
        <v>101</v>
      </c>
      <c r="F460" t="s">
        <v>108</v>
      </c>
      <c r="G460" t="s">
        <v>109</v>
      </c>
      <c r="H460" s="1">
        <v>45994</v>
      </c>
      <c r="I460" s="1">
        <v>45997</v>
      </c>
      <c r="J460" s="86">
        <v>3.91</v>
      </c>
      <c r="K460" s="88">
        <v>49335.48</v>
      </c>
      <c r="L460" s="88">
        <v>49440</v>
      </c>
      <c r="M460" s="1">
        <v>46123</v>
      </c>
      <c r="N460" s="1">
        <v>46123</v>
      </c>
      <c r="O460" s="86">
        <v>3.91</v>
      </c>
      <c r="P460" t="s">
        <v>32</v>
      </c>
      <c r="Q460">
        <v>1</v>
      </c>
      <c r="R460">
        <v>1</v>
      </c>
      <c r="S460">
        <v>1</v>
      </c>
      <c r="T460" s="89">
        <v>126</v>
      </c>
      <c r="U460">
        <v>2025</v>
      </c>
      <c r="V460" s="90">
        <v>45992</v>
      </c>
      <c r="W460" s="87">
        <v>192901.72680000003</v>
      </c>
      <c r="X460" s="87">
        <v>193310.4</v>
      </c>
      <c r="Y460" s="87">
        <v>-408.6731999999875</v>
      </c>
    </row>
    <row r="461" spans="1:25">
      <c r="A461" t="s">
        <v>589</v>
      </c>
      <c r="B461" t="s">
        <v>134</v>
      </c>
      <c r="C461" t="s">
        <v>135</v>
      </c>
      <c r="D461" t="s">
        <v>136</v>
      </c>
      <c r="E461" t="s">
        <v>101</v>
      </c>
      <c r="F461" t="s">
        <v>137</v>
      </c>
      <c r="G461" t="s">
        <v>138</v>
      </c>
      <c r="H461" s="1">
        <v>45994</v>
      </c>
      <c r="I461" s="1">
        <v>45996</v>
      </c>
      <c r="J461" s="86">
        <v>56715.135999999999</v>
      </c>
      <c r="K461" s="88">
        <v>6.37</v>
      </c>
      <c r="L461" s="88">
        <v>6.7</v>
      </c>
      <c r="M461" s="1">
        <v>46052</v>
      </c>
      <c r="N461" s="1">
        <v>46052</v>
      </c>
      <c r="O461" s="86">
        <v>56715.135999999999</v>
      </c>
      <c r="P461" t="s">
        <v>32</v>
      </c>
      <c r="Q461">
        <v>1</v>
      </c>
      <c r="R461">
        <v>1</v>
      </c>
      <c r="S461">
        <v>1</v>
      </c>
      <c r="T461" s="89">
        <v>56</v>
      </c>
      <c r="U461">
        <v>2025</v>
      </c>
      <c r="V461" s="90">
        <v>45992</v>
      </c>
      <c r="W461" s="87">
        <v>361275.41632000002</v>
      </c>
      <c r="X461" s="87">
        <v>379991.41119999997</v>
      </c>
      <c r="Y461" s="87">
        <v>-18715.994880000002</v>
      </c>
    </row>
    <row r="462" spans="1:25">
      <c r="A462" t="s">
        <v>590</v>
      </c>
      <c r="B462" t="s">
        <v>105</v>
      </c>
      <c r="C462" t="s">
        <v>106</v>
      </c>
      <c r="D462" t="s">
        <v>107</v>
      </c>
      <c r="E462" t="s">
        <v>101</v>
      </c>
      <c r="F462" t="s">
        <v>108</v>
      </c>
      <c r="G462" t="s">
        <v>109</v>
      </c>
      <c r="H462" s="1">
        <v>45999</v>
      </c>
      <c r="I462" s="1">
        <v>46000</v>
      </c>
      <c r="J462" s="86">
        <v>4</v>
      </c>
      <c r="K462" s="88">
        <v>49228.43</v>
      </c>
      <c r="L462" s="88">
        <v>49440</v>
      </c>
      <c r="M462" s="1">
        <v>46126</v>
      </c>
      <c r="N462" s="1">
        <v>46125</v>
      </c>
      <c r="O462" s="86">
        <v>4</v>
      </c>
      <c r="P462" t="s">
        <v>32</v>
      </c>
      <c r="Q462">
        <v>1</v>
      </c>
      <c r="R462">
        <v>1</v>
      </c>
      <c r="S462">
        <v>1</v>
      </c>
      <c r="T462" s="89">
        <v>125</v>
      </c>
      <c r="U462">
        <v>2025</v>
      </c>
      <c r="V462" s="90">
        <v>45992</v>
      </c>
      <c r="W462" s="87">
        <v>196913.72</v>
      </c>
      <c r="X462" s="87">
        <v>197760</v>
      </c>
      <c r="Y462" s="87">
        <v>-846.27999999999884</v>
      </c>
    </row>
    <row r="463" spans="1:25">
      <c r="A463" t="s">
        <v>591</v>
      </c>
      <c r="B463" t="s">
        <v>26</v>
      </c>
      <c r="C463" t="s">
        <v>27</v>
      </c>
      <c r="D463" t="s">
        <v>28</v>
      </c>
      <c r="E463" t="s">
        <v>29</v>
      </c>
      <c r="F463" t="s">
        <v>30</v>
      </c>
      <c r="G463" t="s">
        <v>31</v>
      </c>
      <c r="H463" s="1">
        <v>46007</v>
      </c>
      <c r="I463" s="1">
        <v>46009</v>
      </c>
      <c r="J463" s="86">
        <v>23905.557000000001</v>
      </c>
      <c r="K463" s="88">
        <v>105.45</v>
      </c>
      <c r="L463" s="88">
        <v>107.13</v>
      </c>
      <c r="M463" s="1">
        <v>46051</v>
      </c>
      <c r="N463" s="1">
        <v>46050</v>
      </c>
      <c r="O463" s="86">
        <v>23905.557000000001</v>
      </c>
      <c r="P463" t="s">
        <v>32</v>
      </c>
      <c r="Q463">
        <v>1</v>
      </c>
      <c r="R463">
        <v>1</v>
      </c>
      <c r="S463">
        <v>1</v>
      </c>
      <c r="T463" s="89">
        <v>41</v>
      </c>
      <c r="U463">
        <v>2025</v>
      </c>
      <c r="V463" s="90">
        <v>45992</v>
      </c>
      <c r="W463" s="87">
        <v>2520840.9856500002</v>
      </c>
      <c r="X463" s="87">
        <v>2561002.3214099999</v>
      </c>
      <c r="Y463" s="87">
        <v>-40161.335759999827</v>
      </c>
    </row>
    <row r="464" spans="1:25">
      <c r="A464" t="s">
        <v>592</v>
      </c>
      <c r="B464" t="s">
        <v>63</v>
      </c>
      <c r="C464" t="s">
        <v>64</v>
      </c>
      <c r="D464" t="s">
        <v>49</v>
      </c>
      <c r="E464" t="s">
        <v>56</v>
      </c>
      <c r="F464" t="s">
        <v>65</v>
      </c>
      <c r="G464" t="s">
        <v>66</v>
      </c>
      <c r="H464" s="1">
        <v>46008</v>
      </c>
      <c r="I464" s="1">
        <v>46010</v>
      </c>
      <c r="J464" s="86">
        <v>2868.009</v>
      </c>
      <c r="K464" s="88">
        <v>159.88</v>
      </c>
      <c r="L464" s="88">
        <v>164.8</v>
      </c>
      <c r="M464" s="1">
        <v>46038</v>
      </c>
      <c r="N464" s="1">
        <v>46038</v>
      </c>
      <c r="O464" s="86">
        <v>2868.009</v>
      </c>
      <c r="P464" t="s">
        <v>32</v>
      </c>
      <c r="Q464">
        <v>1</v>
      </c>
      <c r="R464">
        <v>1</v>
      </c>
      <c r="S464">
        <v>1</v>
      </c>
      <c r="T464" s="89">
        <v>28</v>
      </c>
      <c r="U464">
        <v>2025</v>
      </c>
      <c r="V464" s="90">
        <v>45992</v>
      </c>
      <c r="W464" s="87">
        <v>458537.27892000001</v>
      </c>
      <c r="X464" s="87">
        <v>472647.88320000004</v>
      </c>
      <c r="Y464" s="87">
        <v>-14110.604280000045</v>
      </c>
    </row>
    <row r="465" spans="1:25">
      <c r="A465" t="s">
        <v>593</v>
      </c>
      <c r="B465" t="s">
        <v>76</v>
      </c>
      <c r="C465" t="s">
        <v>77</v>
      </c>
      <c r="D465" t="s">
        <v>78</v>
      </c>
      <c r="E465" t="s">
        <v>37</v>
      </c>
      <c r="F465" t="s">
        <v>44</v>
      </c>
      <c r="G465" t="s">
        <v>45</v>
      </c>
      <c r="H465" s="1">
        <v>46007</v>
      </c>
      <c r="I465" s="1">
        <v>46009</v>
      </c>
      <c r="J465" s="86">
        <v>14340.507</v>
      </c>
      <c r="K465" s="88">
        <v>35.89</v>
      </c>
      <c r="L465" s="88">
        <v>39.14</v>
      </c>
      <c r="M465" s="1">
        <v>46044</v>
      </c>
      <c r="N465" s="1">
        <v>46043</v>
      </c>
      <c r="O465" s="86">
        <v>14340.507</v>
      </c>
      <c r="P465" t="s">
        <v>32</v>
      </c>
      <c r="Q465">
        <v>1</v>
      </c>
      <c r="R465">
        <v>1</v>
      </c>
      <c r="S465">
        <v>1</v>
      </c>
      <c r="T465" s="89">
        <v>34</v>
      </c>
      <c r="U465">
        <v>2025</v>
      </c>
      <c r="V465" s="90">
        <v>45992</v>
      </c>
      <c r="W465" s="87">
        <v>514680.79622999998</v>
      </c>
      <c r="X465" s="87">
        <v>561287.44397999998</v>
      </c>
      <c r="Y465" s="87">
        <v>-46606.647749999996</v>
      </c>
    </row>
    <row r="466" spans="1:25">
      <c r="A466" t="s">
        <v>594</v>
      </c>
      <c r="B466" t="s">
        <v>92</v>
      </c>
      <c r="C466" t="s">
        <v>93</v>
      </c>
      <c r="D466" t="s">
        <v>94</v>
      </c>
      <c r="E466" t="s">
        <v>56</v>
      </c>
      <c r="F466" t="s">
        <v>95</v>
      </c>
      <c r="G466" t="s">
        <v>96</v>
      </c>
      <c r="H466" s="1">
        <v>46006</v>
      </c>
      <c r="I466" s="1">
        <v>46009</v>
      </c>
      <c r="J466" s="86">
        <v>95.798000000000002</v>
      </c>
      <c r="K466" s="88">
        <v>3981.54</v>
      </c>
      <c r="L466" s="88">
        <v>4017</v>
      </c>
      <c r="M466" s="1">
        <v>46079</v>
      </c>
      <c r="N466" s="1">
        <v>46077</v>
      </c>
      <c r="O466" s="86">
        <v>95.798000000000002</v>
      </c>
      <c r="P466" t="s">
        <v>32</v>
      </c>
      <c r="Q466">
        <v>1</v>
      </c>
      <c r="R466">
        <v>1</v>
      </c>
      <c r="S466">
        <v>1</v>
      </c>
      <c r="T466" s="89">
        <v>68</v>
      </c>
      <c r="U466">
        <v>2025</v>
      </c>
      <c r="V466" s="90">
        <v>45992</v>
      </c>
      <c r="W466" s="87">
        <v>381423.56891999999</v>
      </c>
      <c r="X466" s="87">
        <v>384820.56599999999</v>
      </c>
      <c r="Y466" s="87">
        <v>-3396.9970800000037</v>
      </c>
    </row>
    <row r="467" spans="1:25">
      <c r="A467" t="s">
        <v>595</v>
      </c>
      <c r="B467" t="s">
        <v>98</v>
      </c>
      <c r="C467" t="s">
        <v>99</v>
      </c>
      <c r="D467" t="s">
        <v>100</v>
      </c>
      <c r="E467" t="s">
        <v>101</v>
      </c>
      <c r="F467" t="s">
        <v>102</v>
      </c>
      <c r="G467" t="s">
        <v>103</v>
      </c>
      <c r="H467" s="1">
        <v>46006</v>
      </c>
      <c r="I467" s="1">
        <v>46009</v>
      </c>
      <c r="J467" s="86">
        <v>19.12</v>
      </c>
      <c r="K467" s="88">
        <v>6243.96</v>
      </c>
      <c r="L467" s="88">
        <v>6386</v>
      </c>
      <c r="M467" s="1">
        <v>46058</v>
      </c>
      <c r="N467" s="1">
        <v>46057</v>
      </c>
      <c r="O467" s="86">
        <v>14.519</v>
      </c>
      <c r="P467" t="s">
        <v>32</v>
      </c>
      <c r="Q467">
        <v>1</v>
      </c>
      <c r="R467">
        <v>0</v>
      </c>
      <c r="S467">
        <v>0</v>
      </c>
      <c r="T467" s="89">
        <v>48</v>
      </c>
      <c r="U467">
        <v>2025</v>
      </c>
      <c r="V467" s="90">
        <v>45992</v>
      </c>
      <c r="W467" s="87">
        <v>90656.055240000002</v>
      </c>
      <c r="X467" s="87">
        <v>92718.334000000003</v>
      </c>
      <c r="Y467" s="87">
        <v>-2062.2787599999997</v>
      </c>
    </row>
    <row r="468" spans="1:25">
      <c r="A468" t="s">
        <v>596</v>
      </c>
      <c r="B468" t="s">
        <v>111</v>
      </c>
      <c r="C468" t="s">
        <v>112</v>
      </c>
      <c r="D468" t="s">
        <v>113</v>
      </c>
      <c r="E468" t="s">
        <v>84</v>
      </c>
      <c r="F468" t="s">
        <v>121</v>
      </c>
      <c r="G468" t="s">
        <v>122</v>
      </c>
      <c r="H468" s="1">
        <v>46006</v>
      </c>
      <c r="I468" s="1">
        <v>46009</v>
      </c>
      <c r="J468" s="86">
        <v>21274803.572999999</v>
      </c>
      <c r="K468" s="88">
        <v>9.7100000000000006E-2</v>
      </c>
      <c r="L468" s="88">
        <v>0.1133</v>
      </c>
      <c r="M468" s="1">
        <v>46079</v>
      </c>
      <c r="N468" s="1">
        <v>46079</v>
      </c>
      <c r="O468" s="86">
        <v>21274803.572999999</v>
      </c>
      <c r="P468" t="s">
        <v>32</v>
      </c>
      <c r="Q468">
        <v>1</v>
      </c>
      <c r="R468">
        <v>1</v>
      </c>
      <c r="S468">
        <v>1</v>
      </c>
      <c r="T468" s="89">
        <v>70</v>
      </c>
      <c r="U468">
        <v>2025</v>
      </c>
      <c r="V468" s="90">
        <v>45992</v>
      </c>
      <c r="W468" s="87">
        <v>2065783.4269383</v>
      </c>
      <c r="X468" s="87">
        <v>2410435.2448208998</v>
      </c>
      <c r="Y468" s="87">
        <v>-344651.81788259983</v>
      </c>
    </row>
    <row r="469" spans="1:25">
      <c r="A469" t="s">
        <v>597</v>
      </c>
      <c r="B469" t="s">
        <v>117</v>
      </c>
      <c r="C469" t="s">
        <v>118</v>
      </c>
      <c r="D469" t="s">
        <v>119</v>
      </c>
      <c r="E469" t="s">
        <v>120</v>
      </c>
      <c r="F469" t="s">
        <v>137</v>
      </c>
      <c r="G469" t="s">
        <v>138</v>
      </c>
      <c r="H469" s="1">
        <v>46007</v>
      </c>
      <c r="I469" s="1">
        <v>46011</v>
      </c>
      <c r="J469" s="86">
        <v>12681040.828</v>
      </c>
      <c r="K469" s="88">
        <v>4.0000000000000001E-3</v>
      </c>
      <c r="L469" s="88">
        <v>4.1000000000000003E-3</v>
      </c>
      <c r="M469" s="1">
        <v>46046</v>
      </c>
      <c r="N469" s="1">
        <v>46043</v>
      </c>
      <c r="O469" s="86">
        <v>12681040.828</v>
      </c>
      <c r="P469" t="s">
        <v>32</v>
      </c>
      <c r="Q469">
        <v>1</v>
      </c>
      <c r="R469">
        <v>1</v>
      </c>
      <c r="S469">
        <v>1</v>
      </c>
      <c r="T469" s="89">
        <v>32</v>
      </c>
      <c r="U469">
        <v>2025</v>
      </c>
      <c r="V469" s="90">
        <v>45992</v>
      </c>
      <c r="W469" s="87">
        <v>50724.163311999997</v>
      </c>
      <c r="X469" s="87">
        <v>51992.267394800001</v>
      </c>
      <c r="Y469" s="87">
        <v>-1268.1040828000032</v>
      </c>
    </row>
    <row r="470" spans="1:25">
      <c r="A470" t="s">
        <v>598</v>
      </c>
      <c r="B470" t="s">
        <v>124</v>
      </c>
      <c r="C470" t="s">
        <v>125</v>
      </c>
      <c r="D470" t="s">
        <v>119</v>
      </c>
      <c r="E470" t="s">
        <v>126</v>
      </c>
      <c r="F470" t="s">
        <v>121</v>
      </c>
      <c r="G470" t="s">
        <v>122</v>
      </c>
      <c r="H470" s="1">
        <v>46008</v>
      </c>
      <c r="I470" s="1">
        <v>46009</v>
      </c>
      <c r="J470" s="86">
        <v>7406071.9500000002</v>
      </c>
      <c r="K470" s="88">
        <v>1.9800000000000002E-2</v>
      </c>
      <c r="L470" s="88">
        <v>2.06E-2</v>
      </c>
      <c r="M470" s="1">
        <v>46044</v>
      </c>
      <c r="N470" s="1">
        <v>46053</v>
      </c>
      <c r="O470" s="86">
        <v>7406071.9500000002</v>
      </c>
      <c r="P470" t="s">
        <v>32</v>
      </c>
      <c r="Q470">
        <v>0</v>
      </c>
      <c r="R470">
        <v>1</v>
      </c>
      <c r="S470">
        <v>0</v>
      </c>
      <c r="T470" s="89">
        <v>44</v>
      </c>
      <c r="U470">
        <v>2025</v>
      </c>
      <c r="V470" s="90">
        <v>45992</v>
      </c>
      <c r="W470" s="87">
        <v>146640.22461</v>
      </c>
      <c r="X470" s="87">
        <v>152565.08217000001</v>
      </c>
      <c r="Y470" s="87">
        <v>-5924.8575599999904</v>
      </c>
    </row>
    <row r="471" spans="1:25">
      <c r="A471" t="s">
        <v>599</v>
      </c>
      <c r="B471" t="s">
        <v>140</v>
      </c>
      <c r="C471" t="s">
        <v>141</v>
      </c>
      <c r="D471" t="s">
        <v>142</v>
      </c>
      <c r="E471" t="s">
        <v>84</v>
      </c>
      <c r="F471" t="s">
        <v>143</v>
      </c>
      <c r="G471" t="s">
        <v>144</v>
      </c>
      <c r="H471" s="1">
        <v>46007</v>
      </c>
      <c r="I471" s="1">
        <v>46008</v>
      </c>
      <c r="J471" s="86">
        <v>21253185.397999998</v>
      </c>
      <c r="K471" s="88">
        <v>1.0800000000000001E-2</v>
      </c>
      <c r="L471" s="88">
        <v>1.24E-2</v>
      </c>
      <c r="M471" s="1">
        <v>46022</v>
      </c>
      <c r="N471" s="1">
        <v>46019</v>
      </c>
      <c r="O471" s="86">
        <v>21253185.397999998</v>
      </c>
      <c r="P471" t="s">
        <v>32</v>
      </c>
      <c r="Q471">
        <v>1</v>
      </c>
      <c r="R471">
        <v>1</v>
      </c>
      <c r="S471">
        <v>1</v>
      </c>
      <c r="T471" s="89">
        <v>11</v>
      </c>
      <c r="U471">
        <v>2025</v>
      </c>
      <c r="V471" s="90">
        <v>45992</v>
      </c>
      <c r="W471" s="87">
        <v>229534.4022984</v>
      </c>
      <c r="X471" s="87">
        <v>263539.49893519998</v>
      </c>
      <c r="Y471" s="87">
        <v>-34005.096636799979</v>
      </c>
    </row>
    <row r="472" spans="1:25">
      <c r="A472" t="s">
        <v>600</v>
      </c>
      <c r="B472" t="s">
        <v>47</v>
      </c>
      <c r="C472" t="s">
        <v>48</v>
      </c>
      <c r="D472" t="s">
        <v>49</v>
      </c>
      <c r="E472" t="s">
        <v>50</v>
      </c>
      <c r="F472" t="s">
        <v>51</v>
      </c>
      <c r="G472" t="s">
        <v>52</v>
      </c>
      <c r="H472" s="1">
        <v>46014</v>
      </c>
      <c r="I472" s="1">
        <v>46019</v>
      </c>
      <c r="J472" s="86">
        <v>118.696</v>
      </c>
      <c r="K472" s="88">
        <v>1945.26</v>
      </c>
      <c r="L472" s="88">
        <v>1905.5</v>
      </c>
      <c r="M472" s="1">
        <v>46075</v>
      </c>
      <c r="N472" s="1">
        <v>46074</v>
      </c>
      <c r="O472" s="86">
        <v>118.696</v>
      </c>
      <c r="P472" t="s">
        <v>32</v>
      </c>
      <c r="Q472">
        <v>1</v>
      </c>
      <c r="R472">
        <v>1</v>
      </c>
      <c r="S472">
        <v>1</v>
      </c>
      <c r="T472" s="89">
        <v>55</v>
      </c>
      <c r="U472">
        <v>2025</v>
      </c>
      <c r="V472" s="90">
        <v>45992</v>
      </c>
      <c r="W472" s="87">
        <v>230894.58095999999</v>
      </c>
      <c r="X472" s="87">
        <v>226175.228</v>
      </c>
      <c r="Y472" s="87">
        <v>4719.3529599999993</v>
      </c>
    </row>
    <row r="473" spans="1:25">
      <c r="A473" t="s">
        <v>601</v>
      </c>
      <c r="B473" t="s">
        <v>134</v>
      </c>
      <c r="C473" t="s">
        <v>135</v>
      </c>
      <c r="D473" t="s">
        <v>136</v>
      </c>
      <c r="E473" t="s">
        <v>101</v>
      </c>
      <c r="F473" t="s">
        <v>137</v>
      </c>
      <c r="G473" t="s">
        <v>138</v>
      </c>
      <c r="H473" s="1">
        <v>46014</v>
      </c>
      <c r="I473" s="1">
        <v>46016</v>
      </c>
      <c r="J473" s="86">
        <v>63340.781000000003</v>
      </c>
      <c r="K473" s="88">
        <v>6.51</v>
      </c>
      <c r="L473" s="88">
        <v>6.7</v>
      </c>
      <c r="M473" s="1">
        <v>46072</v>
      </c>
      <c r="N473" s="1">
        <v>46072</v>
      </c>
      <c r="O473" s="86">
        <v>63340.781000000003</v>
      </c>
      <c r="P473" t="s">
        <v>32</v>
      </c>
      <c r="Q473">
        <v>1</v>
      </c>
      <c r="R473">
        <v>1</v>
      </c>
      <c r="S473">
        <v>1</v>
      </c>
      <c r="T473" s="89">
        <v>56</v>
      </c>
      <c r="U473">
        <v>2025</v>
      </c>
      <c r="V473" s="90">
        <v>45992</v>
      </c>
      <c r="W473" s="87">
        <v>412348.48431000003</v>
      </c>
      <c r="X473" s="87">
        <v>424383.23270000005</v>
      </c>
      <c r="Y473" s="87">
        <v>-12034.748390000026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AB23B-987B-4020-B879-236F44FCCE1F}">
  <dimension ref="A1:M451"/>
  <sheetViews>
    <sheetView workbookViewId="0">
      <pane ySplit="1" topLeftCell="A2" activePane="bottomLeft" state="frozen"/>
      <selection pane="bottomLeft" activeCell="A2" sqref="A2"/>
    </sheetView>
  </sheetViews>
  <sheetFormatPr defaultRowHeight="15"/>
  <cols>
    <col min="1" max="1" width="12.28515625" bestFit="1" customWidth="1"/>
    <col min="2" max="2" width="11.42578125" bestFit="1" customWidth="1"/>
    <col min="3" max="3" width="14.5703125" bestFit="1" customWidth="1"/>
    <col min="4" max="4" width="13.42578125" bestFit="1" customWidth="1"/>
    <col min="5" max="5" width="30.140625" bestFit="1" customWidth="1"/>
    <col min="6" max="6" width="19.5703125" bestFit="1" customWidth="1"/>
    <col min="7" max="7" width="8.140625" bestFit="1" customWidth="1"/>
    <col min="8" max="8" width="13.28515625" bestFit="1" customWidth="1"/>
    <col min="9" max="9" width="23.5703125" bestFit="1" customWidth="1"/>
    <col min="10" max="10" width="14.85546875" bestFit="1" customWidth="1"/>
    <col min="11" max="11" width="14.5703125" bestFit="1" customWidth="1"/>
    <col min="12" max="12" width="25.5703125" bestFit="1" customWidth="1"/>
    <col min="13" max="13" width="15" bestFit="1" customWidth="1"/>
  </cols>
  <sheetData>
    <row r="1" spans="1:13">
      <c r="A1" t="s">
        <v>623</v>
      </c>
      <c r="B1" t="s">
        <v>0</v>
      </c>
      <c r="C1" t="s">
        <v>13</v>
      </c>
      <c r="D1" t="s">
        <v>1</v>
      </c>
      <c r="E1" t="s">
        <v>2</v>
      </c>
      <c r="F1" t="s">
        <v>3</v>
      </c>
      <c r="G1" t="s">
        <v>4</v>
      </c>
      <c r="H1" t="s">
        <v>5</v>
      </c>
      <c r="I1" t="s">
        <v>6</v>
      </c>
      <c r="J1" t="s">
        <v>624</v>
      </c>
      <c r="K1" t="s">
        <v>625</v>
      </c>
      <c r="L1" t="s">
        <v>626</v>
      </c>
      <c r="M1" t="s">
        <v>627</v>
      </c>
    </row>
    <row r="2" spans="1:13">
      <c r="A2" t="s">
        <v>628</v>
      </c>
      <c r="B2" t="s">
        <v>97</v>
      </c>
      <c r="C2" s="1">
        <v>45231</v>
      </c>
      <c r="D2" t="s">
        <v>98</v>
      </c>
      <c r="E2" t="s">
        <v>99</v>
      </c>
      <c r="F2" t="s">
        <v>100</v>
      </c>
      <c r="G2" t="s">
        <v>101</v>
      </c>
      <c r="H2" t="s">
        <v>102</v>
      </c>
      <c r="I2" t="s">
        <v>103</v>
      </c>
      <c r="J2" s="91">
        <v>24.96</v>
      </c>
      <c r="K2" s="91">
        <v>0</v>
      </c>
      <c r="M2" t="s">
        <v>611</v>
      </c>
    </row>
    <row r="3" spans="1:13">
      <c r="A3" t="s">
        <v>629</v>
      </c>
      <c r="B3" t="s">
        <v>85</v>
      </c>
      <c r="C3" s="1">
        <v>45244</v>
      </c>
      <c r="D3" t="s">
        <v>86</v>
      </c>
      <c r="E3" t="s">
        <v>87</v>
      </c>
      <c r="F3" t="s">
        <v>88</v>
      </c>
      <c r="G3" t="s">
        <v>84</v>
      </c>
      <c r="H3" t="s">
        <v>89</v>
      </c>
      <c r="I3" t="s">
        <v>90</v>
      </c>
      <c r="J3" s="91">
        <v>18.72</v>
      </c>
      <c r="K3" s="91">
        <v>0</v>
      </c>
      <c r="M3" t="s">
        <v>611</v>
      </c>
    </row>
    <row r="4" spans="1:13">
      <c r="A4" t="s">
        <v>630</v>
      </c>
      <c r="B4" t="s">
        <v>127</v>
      </c>
      <c r="C4" s="1">
        <v>45252</v>
      </c>
      <c r="D4" t="s">
        <v>128</v>
      </c>
      <c r="E4" t="s">
        <v>129</v>
      </c>
      <c r="F4" t="s">
        <v>130</v>
      </c>
      <c r="G4" t="s">
        <v>84</v>
      </c>
      <c r="H4" t="s">
        <v>131</v>
      </c>
      <c r="I4" t="s">
        <v>132</v>
      </c>
      <c r="J4" s="91">
        <v>1.375</v>
      </c>
      <c r="K4" s="91">
        <v>0</v>
      </c>
      <c r="M4" t="s">
        <v>611</v>
      </c>
    </row>
    <row r="5" spans="1:13">
      <c r="A5" t="s">
        <v>631</v>
      </c>
      <c r="B5" t="s">
        <v>161</v>
      </c>
      <c r="C5" s="1">
        <v>45287</v>
      </c>
      <c r="D5" t="s">
        <v>86</v>
      </c>
      <c r="E5" t="s">
        <v>87</v>
      </c>
      <c r="F5" t="s">
        <v>88</v>
      </c>
      <c r="G5" t="s">
        <v>84</v>
      </c>
      <c r="H5" t="s">
        <v>89</v>
      </c>
      <c r="I5" t="s">
        <v>90</v>
      </c>
      <c r="J5" s="91">
        <v>17.234999999999999</v>
      </c>
      <c r="K5" s="91">
        <v>0</v>
      </c>
      <c r="M5" t="s">
        <v>611</v>
      </c>
    </row>
    <row r="6" spans="1:13">
      <c r="A6" t="s">
        <v>632</v>
      </c>
      <c r="B6" t="s">
        <v>163</v>
      </c>
      <c r="C6" s="1">
        <v>45300</v>
      </c>
      <c r="D6" t="s">
        <v>98</v>
      </c>
      <c r="E6" t="s">
        <v>99</v>
      </c>
      <c r="F6" t="s">
        <v>100</v>
      </c>
      <c r="G6" t="s">
        <v>101</v>
      </c>
      <c r="H6" t="s">
        <v>102</v>
      </c>
      <c r="I6" t="s">
        <v>103</v>
      </c>
      <c r="J6" s="91">
        <v>22.98</v>
      </c>
      <c r="K6" s="91">
        <v>0</v>
      </c>
      <c r="M6" t="s">
        <v>612</v>
      </c>
    </row>
    <row r="7" spans="1:13">
      <c r="A7" t="s">
        <v>633</v>
      </c>
      <c r="B7" t="s">
        <v>104</v>
      </c>
      <c r="C7" s="1">
        <v>45306</v>
      </c>
      <c r="D7" t="s">
        <v>105</v>
      </c>
      <c r="E7" t="s">
        <v>106</v>
      </c>
      <c r="F7" t="s">
        <v>107</v>
      </c>
      <c r="G7" t="s">
        <v>101</v>
      </c>
      <c r="H7" t="s">
        <v>108</v>
      </c>
      <c r="I7" t="s">
        <v>109</v>
      </c>
      <c r="J7" s="91">
        <v>3.0249999999999999</v>
      </c>
      <c r="K7" s="91">
        <v>0</v>
      </c>
      <c r="M7" t="s">
        <v>612</v>
      </c>
    </row>
    <row r="8" spans="1:13">
      <c r="A8" t="s">
        <v>634</v>
      </c>
      <c r="B8" t="s">
        <v>187</v>
      </c>
      <c r="C8" s="1">
        <v>45316</v>
      </c>
      <c r="D8" t="s">
        <v>98</v>
      </c>
      <c r="E8" t="s">
        <v>99</v>
      </c>
      <c r="F8" t="s">
        <v>100</v>
      </c>
      <c r="G8" t="s">
        <v>101</v>
      </c>
      <c r="H8" t="s">
        <v>102</v>
      </c>
      <c r="I8" t="s">
        <v>103</v>
      </c>
      <c r="J8" s="91">
        <v>23</v>
      </c>
      <c r="K8" s="91">
        <v>0</v>
      </c>
      <c r="M8" t="s">
        <v>612</v>
      </c>
    </row>
    <row r="9" spans="1:13">
      <c r="A9" t="s">
        <v>635</v>
      </c>
      <c r="B9" t="s">
        <v>145</v>
      </c>
      <c r="C9" s="1">
        <v>45321</v>
      </c>
      <c r="D9" t="s">
        <v>105</v>
      </c>
      <c r="E9" t="s">
        <v>106</v>
      </c>
      <c r="F9" t="s">
        <v>107</v>
      </c>
      <c r="G9" t="s">
        <v>101</v>
      </c>
      <c r="H9" t="s">
        <v>108</v>
      </c>
      <c r="I9" t="s">
        <v>109</v>
      </c>
      <c r="J9" s="91">
        <v>3</v>
      </c>
      <c r="K9" s="91">
        <v>0</v>
      </c>
      <c r="M9" t="s">
        <v>612</v>
      </c>
    </row>
    <row r="10" spans="1:13">
      <c r="A10" t="s">
        <v>636</v>
      </c>
      <c r="B10" t="s">
        <v>186</v>
      </c>
      <c r="C10" s="1">
        <v>45330</v>
      </c>
      <c r="D10" t="s">
        <v>86</v>
      </c>
      <c r="E10" t="s">
        <v>87</v>
      </c>
      <c r="F10" t="s">
        <v>88</v>
      </c>
      <c r="G10" t="s">
        <v>84</v>
      </c>
      <c r="H10" t="s">
        <v>89</v>
      </c>
      <c r="I10" t="s">
        <v>90</v>
      </c>
      <c r="J10" s="91">
        <v>17.25</v>
      </c>
      <c r="K10" s="91">
        <v>0</v>
      </c>
      <c r="M10" t="s">
        <v>612</v>
      </c>
    </row>
    <row r="11" spans="1:13">
      <c r="A11" t="s">
        <v>637</v>
      </c>
      <c r="B11" t="s">
        <v>164</v>
      </c>
      <c r="C11" s="1">
        <v>45350</v>
      </c>
      <c r="D11" t="s">
        <v>105</v>
      </c>
      <c r="E11" t="s">
        <v>106</v>
      </c>
      <c r="F11" t="s">
        <v>107</v>
      </c>
      <c r="G11" t="s">
        <v>101</v>
      </c>
      <c r="H11" t="s">
        <v>108</v>
      </c>
      <c r="I11" t="s">
        <v>109</v>
      </c>
      <c r="J11" s="91">
        <v>3</v>
      </c>
      <c r="K11" s="91">
        <v>0</v>
      </c>
      <c r="M11" t="s">
        <v>612</v>
      </c>
    </row>
    <row r="12" spans="1:13">
      <c r="A12" t="s">
        <v>638</v>
      </c>
      <c r="B12" t="s">
        <v>193</v>
      </c>
      <c r="C12" s="1">
        <v>45365</v>
      </c>
      <c r="D12" t="s">
        <v>128</v>
      </c>
      <c r="E12" t="s">
        <v>129</v>
      </c>
      <c r="F12" t="s">
        <v>130</v>
      </c>
      <c r="G12" t="s">
        <v>84</v>
      </c>
      <c r="H12" t="s">
        <v>131</v>
      </c>
      <c r="I12" t="s">
        <v>132</v>
      </c>
      <c r="J12" s="91">
        <v>2</v>
      </c>
      <c r="K12" s="91">
        <v>0</v>
      </c>
      <c r="M12" t="s">
        <v>612</v>
      </c>
    </row>
    <row r="13" spans="1:13">
      <c r="A13" t="s">
        <v>639</v>
      </c>
      <c r="B13" t="s">
        <v>207</v>
      </c>
      <c r="C13" s="1">
        <v>45364</v>
      </c>
      <c r="D13" t="s">
        <v>98</v>
      </c>
      <c r="E13" t="s">
        <v>99</v>
      </c>
      <c r="F13" t="s">
        <v>100</v>
      </c>
      <c r="G13" t="s">
        <v>101</v>
      </c>
      <c r="H13" t="s">
        <v>102</v>
      </c>
      <c r="I13" t="s">
        <v>103</v>
      </c>
      <c r="J13" s="91">
        <v>21.18</v>
      </c>
      <c r="K13" s="91">
        <v>0</v>
      </c>
      <c r="M13" t="s">
        <v>612</v>
      </c>
    </row>
    <row r="14" spans="1:13">
      <c r="A14" t="s">
        <v>640</v>
      </c>
      <c r="B14" t="s">
        <v>206</v>
      </c>
      <c r="C14" s="1">
        <v>45369</v>
      </c>
      <c r="D14" t="s">
        <v>86</v>
      </c>
      <c r="E14" t="s">
        <v>87</v>
      </c>
      <c r="F14" t="s">
        <v>88</v>
      </c>
      <c r="G14" t="s">
        <v>84</v>
      </c>
      <c r="H14" t="s">
        <v>89</v>
      </c>
      <c r="I14" t="s">
        <v>90</v>
      </c>
      <c r="J14" s="91">
        <v>17.234999999999999</v>
      </c>
      <c r="K14" s="91">
        <v>0</v>
      </c>
      <c r="M14" t="s">
        <v>612</v>
      </c>
    </row>
    <row r="15" spans="1:13">
      <c r="A15" t="s">
        <v>641</v>
      </c>
      <c r="B15" t="s">
        <v>168</v>
      </c>
      <c r="C15" s="1">
        <v>45377</v>
      </c>
      <c r="D15" t="s">
        <v>105</v>
      </c>
      <c r="E15" t="s">
        <v>106</v>
      </c>
      <c r="F15" t="s">
        <v>107</v>
      </c>
      <c r="G15" t="s">
        <v>101</v>
      </c>
      <c r="H15" t="s">
        <v>108</v>
      </c>
      <c r="I15" t="s">
        <v>109</v>
      </c>
      <c r="J15" s="91">
        <v>4</v>
      </c>
      <c r="K15" s="91">
        <v>0</v>
      </c>
      <c r="M15" t="s">
        <v>612</v>
      </c>
    </row>
    <row r="16" spans="1:13">
      <c r="A16" t="s">
        <v>642</v>
      </c>
      <c r="B16" t="s">
        <v>228</v>
      </c>
      <c r="C16" s="1">
        <v>45397</v>
      </c>
      <c r="D16" t="s">
        <v>98</v>
      </c>
      <c r="E16" t="s">
        <v>99</v>
      </c>
      <c r="F16" t="s">
        <v>100</v>
      </c>
      <c r="G16" t="s">
        <v>101</v>
      </c>
      <c r="H16" t="s">
        <v>102</v>
      </c>
      <c r="I16" t="s">
        <v>103</v>
      </c>
      <c r="J16" s="91">
        <v>20.72</v>
      </c>
      <c r="K16" s="91">
        <v>0</v>
      </c>
      <c r="M16" t="s">
        <v>612</v>
      </c>
    </row>
    <row r="17" spans="1:13">
      <c r="A17" t="s">
        <v>643</v>
      </c>
      <c r="B17" t="s">
        <v>227</v>
      </c>
      <c r="C17" s="1">
        <v>45415</v>
      </c>
      <c r="D17" t="s">
        <v>86</v>
      </c>
      <c r="E17" t="s">
        <v>87</v>
      </c>
      <c r="F17" t="s">
        <v>88</v>
      </c>
      <c r="G17" t="s">
        <v>84</v>
      </c>
      <c r="H17" t="s">
        <v>89</v>
      </c>
      <c r="I17" t="s">
        <v>90</v>
      </c>
      <c r="J17" s="91">
        <v>15.54</v>
      </c>
      <c r="K17" s="91">
        <v>0</v>
      </c>
      <c r="M17" t="s">
        <v>612</v>
      </c>
    </row>
    <row r="18" spans="1:13">
      <c r="A18" t="s">
        <v>644</v>
      </c>
      <c r="B18" t="s">
        <v>208</v>
      </c>
      <c r="C18" s="1">
        <v>45440</v>
      </c>
      <c r="D18" t="s">
        <v>105</v>
      </c>
      <c r="E18" t="s">
        <v>106</v>
      </c>
      <c r="F18" t="s">
        <v>107</v>
      </c>
      <c r="G18" t="s">
        <v>101</v>
      </c>
      <c r="H18" t="s">
        <v>108</v>
      </c>
      <c r="I18" t="s">
        <v>109</v>
      </c>
      <c r="J18" s="91">
        <v>3.55</v>
      </c>
      <c r="K18" s="91">
        <v>0</v>
      </c>
      <c r="M18" t="s">
        <v>612</v>
      </c>
    </row>
    <row r="19" spans="1:13">
      <c r="A19" t="s">
        <v>645</v>
      </c>
      <c r="B19" t="s">
        <v>249</v>
      </c>
      <c r="C19" s="1">
        <v>45443</v>
      </c>
      <c r="D19" t="s">
        <v>98</v>
      </c>
      <c r="E19" t="s">
        <v>99</v>
      </c>
      <c r="F19" t="s">
        <v>100</v>
      </c>
      <c r="G19" t="s">
        <v>101</v>
      </c>
      <c r="H19" t="s">
        <v>102</v>
      </c>
      <c r="I19" t="s">
        <v>103</v>
      </c>
      <c r="J19" s="91">
        <v>23</v>
      </c>
      <c r="K19" s="91">
        <v>0</v>
      </c>
      <c r="M19" t="s">
        <v>612</v>
      </c>
    </row>
    <row r="20" spans="1:13">
      <c r="A20" t="s">
        <v>646</v>
      </c>
      <c r="B20" t="s">
        <v>248</v>
      </c>
      <c r="C20" s="1">
        <v>45454</v>
      </c>
      <c r="D20" t="s">
        <v>86</v>
      </c>
      <c r="E20" t="s">
        <v>87</v>
      </c>
      <c r="F20" t="s">
        <v>88</v>
      </c>
      <c r="G20" t="s">
        <v>84</v>
      </c>
      <c r="H20" t="s">
        <v>89</v>
      </c>
      <c r="I20" t="s">
        <v>90</v>
      </c>
      <c r="J20" s="91">
        <v>17.25</v>
      </c>
      <c r="K20" s="91">
        <v>0</v>
      </c>
      <c r="M20" t="s">
        <v>612</v>
      </c>
    </row>
    <row r="21" spans="1:13">
      <c r="A21" t="s">
        <v>647</v>
      </c>
      <c r="B21" t="s">
        <v>259</v>
      </c>
      <c r="C21" s="1">
        <v>45454</v>
      </c>
      <c r="D21" t="s">
        <v>105</v>
      </c>
      <c r="E21" t="s">
        <v>106</v>
      </c>
      <c r="F21" t="s">
        <v>107</v>
      </c>
      <c r="G21" t="s">
        <v>101</v>
      </c>
      <c r="H21" t="s">
        <v>108</v>
      </c>
      <c r="I21" t="s">
        <v>109</v>
      </c>
      <c r="J21" s="91">
        <v>3</v>
      </c>
      <c r="K21" s="91">
        <v>0</v>
      </c>
      <c r="M21" t="s">
        <v>612</v>
      </c>
    </row>
    <row r="22" spans="1:13">
      <c r="A22" t="s">
        <v>648</v>
      </c>
      <c r="B22" t="s">
        <v>229</v>
      </c>
      <c r="C22" s="1">
        <v>45484</v>
      </c>
      <c r="D22" t="s">
        <v>105</v>
      </c>
      <c r="E22" t="s">
        <v>106</v>
      </c>
      <c r="F22" t="s">
        <v>107</v>
      </c>
      <c r="G22" t="s">
        <v>101</v>
      </c>
      <c r="H22" t="s">
        <v>108</v>
      </c>
      <c r="I22" t="s">
        <v>109</v>
      </c>
      <c r="J22" s="91">
        <v>4</v>
      </c>
      <c r="K22" s="91">
        <v>0</v>
      </c>
      <c r="M22" t="s">
        <v>612</v>
      </c>
    </row>
    <row r="23" spans="1:13">
      <c r="A23" t="s">
        <v>649</v>
      </c>
      <c r="B23" t="s">
        <v>268</v>
      </c>
      <c r="C23" s="1">
        <v>45492</v>
      </c>
      <c r="D23" t="s">
        <v>98</v>
      </c>
      <c r="E23" t="s">
        <v>99</v>
      </c>
      <c r="F23" t="s">
        <v>100</v>
      </c>
      <c r="G23" t="s">
        <v>101</v>
      </c>
      <c r="H23" t="s">
        <v>102</v>
      </c>
      <c r="I23" t="s">
        <v>103</v>
      </c>
      <c r="J23" s="91">
        <v>19.2</v>
      </c>
      <c r="K23" s="91">
        <v>0</v>
      </c>
      <c r="M23" t="s">
        <v>612</v>
      </c>
    </row>
    <row r="24" spans="1:13">
      <c r="A24" t="s">
        <v>650</v>
      </c>
      <c r="B24" t="s">
        <v>269</v>
      </c>
      <c r="C24" s="1">
        <v>45500</v>
      </c>
      <c r="D24" t="s">
        <v>128</v>
      </c>
      <c r="E24" t="s">
        <v>129</v>
      </c>
      <c r="F24" t="s">
        <v>130</v>
      </c>
      <c r="G24" t="s">
        <v>84</v>
      </c>
      <c r="H24" t="s">
        <v>131</v>
      </c>
      <c r="I24" t="s">
        <v>132</v>
      </c>
      <c r="J24" s="91">
        <v>2</v>
      </c>
      <c r="K24" s="91">
        <v>0</v>
      </c>
      <c r="M24" t="s">
        <v>612</v>
      </c>
    </row>
    <row r="25" spans="1:13">
      <c r="A25" t="s">
        <v>651</v>
      </c>
      <c r="B25" t="s">
        <v>270</v>
      </c>
      <c r="C25" s="1">
        <v>45496</v>
      </c>
      <c r="D25" t="s">
        <v>86</v>
      </c>
      <c r="E25" t="s">
        <v>87</v>
      </c>
      <c r="F25" t="s">
        <v>88</v>
      </c>
      <c r="G25" t="s">
        <v>84</v>
      </c>
      <c r="H25" t="s">
        <v>89</v>
      </c>
      <c r="I25" t="s">
        <v>90</v>
      </c>
      <c r="J25" s="91">
        <v>17.28</v>
      </c>
      <c r="K25" s="91">
        <v>0</v>
      </c>
      <c r="M25" t="s">
        <v>612</v>
      </c>
    </row>
    <row r="26" spans="1:13">
      <c r="A26" t="s">
        <v>652</v>
      </c>
      <c r="B26" t="s">
        <v>239</v>
      </c>
      <c r="C26" s="1">
        <v>45502</v>
      </c>
      <c r="D26" t="s">
        <v>105</v>
      </c>
      <c r="E26" t="s">
        <v>106</v>
      </c>
      <c r="F26" t="s">
        <v>107</v>
      </c>
      <c r="G26" t="s">
        <v>101</v>
      </c>
      <c r="H26" t="s">
        <v>108</v>
      </c>
      <c r="I26" t="s">
        <v>109</v>
      </c>
      <c r="J26" s="91">
        <v>4</v>
      </c>
      <c r="K26" s="91">
        <v>0</v>
      </c>
      <c r="M26" t="s">
        <v>612</v>
      </c>
    </row>
    <row r="27" spans="1:13">
      <c r="A27" t="s">
        <v>653</v>
      </c>
      <c r="B27" t="s">
        <v>290</v>
      </c>
      <c r="C27" s="1">
        <v>45516</v>
      </c>
      <c r="D27" t="s">
        <v>98</v>
      </c>
      <c r="E27" t="s">
        <v>99</v>
      </c>
      <c r="F27" t="s">
        <v>100</v>
      </c>
      <c r="G27" t="s">
        <v>101</v>
      </c>
      <c r="H27" t="s">
        <v>102</v>
      </c>
      <c r="I27" t="s">
        <v>103</v>
      </c>
      <c r="J27" s="91">
        <v>23.02</v>
      </c>
      <c r="K27" s="91">
        <v>0</v>
      </c>
      <c r="M27" t="s">
        <v>612</v>
      </c>
    </row>
    <row r="28" spans="1:13">
      <c r="A28" t="s">
        <v>654</v>
      </c>
      <c r="B28" t="s">
        <v>283</v>
      </c>
      <c r="C28" s="1">
        <v>45529</v>
      </c>
      <c r="D28" t="s">
        <v>128</v>
      </c>
      <c r="E28" t="s">
        <v>129</v>
      </c>
      <c r="F28" t="s">
        <v>130</v>
      </c>
      <c r="G28" t="s">
        <v>84</v>
      </c>
      <c r="H28" t="s">
        <v>131</v>
      </c>
      <c r="I28" t="s">
        <v>132</v>
      </c>
      <c r="J28" s="91">
        <v>2</v>
      </c>
      <c r="K28" s="91">
        <v>0</v>
      </c>
      <c r="M28" t="s">
        <v>612</v>
      </c>
    </row>
    <row r="29" spans="1:13">
      <c r="A29" t="s">
        <v>655</v>
      </c>
      <c r="B29" t="s">
        <v>292</v>
      </c>
      <c r="C29" s="1">
        <v>45543</v>
      </c>
      <c r="D29" t="s">
        <v>86</v>
      </c>
      <c r="E29" t="s">
        <v>87</v>
      </c>
      <c r="F29" t="s">
        <v>88</v>
      </c>
      <c r="G29" t="s">
        <v>84</v>
      </c>
      <c r="H29" t="s">
        <v>89</v>
      </c>
      <c r="I29" t="s">
        <v>90</v>
      </c>
      <c r="J29" s="91">
        <v>17.265000000000001</v>
      </c>
      <c r="K29" s="91">
        <v>0</v>
      </c>
      <c r="M29" t="s">
        <v>612</v>
      </c>
    </row>
    <row r="30" spans="1:13">
      <c r="A30" t="s">
        <v>656</v>
      </c>
      <c r="B30" t="s">
        <v>311</v>
      </c>
      <c r="C30" s="1">
        <v>45561</v>
      </c>
      <c r="D30" t="s">
        <v>98</v>
      </c>
      <c r="E30" t="s">
        <v>99</v>
      </c>
      <c r="F30" t="s">
        <v>100</v>
      </c>
      <c r="G30" t="s">
        <v>101</v>
      </c>
      <c r="H30" t="s">
        <v>102</v>
      </c>
      <c r="I30" t="s">
        <v>103</v>
      </c>
      <c r="J30" s="91">
        <v>23</v>
      </c>
      <c r="K30" s="91">
        <v>0</v>
      </c>
      <c r="M30" t="s">
        <v>612</v>
      </c>
    </row>
    <row r="31" spans="1:13">
      <c r="A31" t="s">
        <v>657</v>
      </c>
      <c r="B31" t="s">
        <v>313</v>
      </c>
      <c r="C31" s="1">
        <v>45584</v>
      </c>
      <c r="D31" t="s">
        <v>86</v>
      </c>
      <c r="E31" t="s">
        <v>87</v>
      </c>
      <c r="F31" t="s">
        <v>88</v>
      </c>
      <c r="G31" t="s">
        <v>84</v>
      </c>
      <c r="H31" t="s">
        <v>89</v>
      </c>
      <c r="I31" t="s">
        <v>90</v>
      </c>
      <c r="J31" s="91">
        <v>17.234999999999999</v>
      </c>
      <c r="K31" s="91">
        <v>0</v>
      </c>
      <c r="M31" t="s">
        <v>612</v>
      </c>
    </row>
    <row r="32" spans="1:13">
      <c r="A32" t="s">
        <v>658</v>
      </c>
      <c r="B32" t="s">
        <v>286</v>
      </c>
      <c r="C32" s="1">
        <v>45590</v>
      </c>
      <c r="D32" t="s">
        <v>105</v>
      </c>
      <c r="E32" t="s">
        <v>106</v>
      </c>
      <c r="F32" t="s">
        <v>107</v>
      </c>
      <c r="G32" t="s">
        <v>101</v>
      </c>
      <c r="H32" t="s">
        <v>108</v>
      </c>
      <c r="I32" t="s">
        <v>109</v>
      </c>
      <c r="J32" s="91">
        <v>4.0250000000000004</v>
      </c>
      <c r="K32" s="91">
        <v>0</v>
      </c>
      <c r="M32" t="s">
        <v>612</v>
      </c>
    </row>
    <row r="33" spans="1:13">
      <c r="A33" t="s">
        <v>659</v>
      </c>
      <c r="B33" t="s">
        <v>331</v>
      </c>
      <c r="C33" s="1">
        <v>45603</v>
      </c>
      <c r="D33" t="s">
        <v>98</v>
      </c>
      <c r="E33" t="s">
        <v>99</v>
      </c>
      <c r="F33" t="s">
        <v>100</v>
      </c>
      <c r="G33" t="s">
        <v>101</v>
      </c>
      <c r="H33" t="s">
        <v>102</v>
      </c>
      <c r="I33" t="s">
        <v>103</v>
      </c>
      <c r="J33" s="91">
        <v>21.02</v>
      </c>
      <c r="K33" s="91">
        <v>0</v>
      </c>
      <c r="M33" t="s">
        <v>612</v>
      </c>
    </row>
    <row r="34" spans="1:13">
      <c r="A34" t="s">
        <v>660</v>
      </c>
      <c r="B34" t="s">
        <v>337</v>
      </c>
      <c r="C34" s="1">
        <v>45604</v>
      </c>
      <c r="D34" t="s">
        <v>105</v>
      </c>
      <c r="E34" t="s">
        <v>106</v>
      </c>
      <c r="F34" t="s">
        <v>107</v>
      </c>
      <c r="G34" t="s">
        <v>101</v>
      </c>
      <c r="H34" t="s">
        <v>108</v>
      </c>
      <c r="I34" t="s">
        <v>109</v>
      </c>
      <c r="J34" s="91">
        <v>4.55</v>
      </c>
      <c r="K34" s="91">
        <v>0</v>
      </c>
      <c r="M34" t="s">
        <v>612</v>
      </c>
    </row>
    <row r="35" spans="1:13">
      <c r="A35" t="s">
        <v>661</v>
      </c>
      <c r="B35" t="s">
        <v>305</v>
      </c>
      <c r="C35" s="1">
        <v>45624</v>
      </c>
      <c r="D35" t="s">
        <v>105</v>
      </c>
      <c r="E35" t="s">
        <v>106</v>
      </c>
      <c r="F35" t="s">
        <v>107</v>
      </c>
      <c r="G35" t="s">
        <v>101</v>
      </c>
      <c r="H35" t="s">
        <v>108</v>
      </c>
      <c r="I35" t="s">
        <v>109</v>
      </c>
      <c r="J35" s="91">
        <v>2.7909999999999999</v>
      </c>
      <c r="K35" s="91">
        <v>0</v>
      </c>
      <c r="M35" t="s">
        <v>612</v>
      </c>
    </row>
    <row r="36" spans="1:13">
      <c r="A36" t="s">
        <v>662</v>
      </c>
      <c r="B36" t="s">
        <v>336</v>
      </c>
      <c r="C36" s="1">
        <v>45628</v>
      </c>
      <c r="D36" t="s">
        <v>86</v>
      </c>
      <c r="E36" t="s">
        <v>87</v>
      </c>
      <c r="F36" t="s">
        <v>88</v>
      </c>
      <c r="G36" t="s">
        <v>84</v>
      </c>
      <c r="H36" t="s">
        <v>89</v>
      </c>
      <c r="I36" t="s">
        <v>90</v>
      </c>
      <c r="J36" s="91">
        <v>15.78</v>
      </c>
      <c r="K36" s="91">
        <v>0</v>
      </c>
      <c r="M36" t="s">
        <v>612</v>
      </c>
    </row>
    <row r="37" spans="1:13">
      <c r="A37" t="s">
        <v>663</v>
      </c>
      <c r="B37" t="s">
        <v>339</v>
      </c>
      <c r="C37" s="1">
        <v>45631</v>
      </c>
      <c r="D37" t="s">
        <v>128</v>
      </c>
      <c r="E37" t="s">
        <v>129</v>
      </c>
      <c r="F37" t="s">
        <v>130</v>
      </c>
      <c r="G37" t="s">
        <v>84</v>
      </c>
      <c r="H37" t="s">
        <v>131</v>
      </c>
      <c r="I37" t="s">
        <v>132</v>
      </c>
      <c r="J37" s="91">
        <v>1.625</v>
      </c>
      <c r="K37" s="91">
        <v>0</v>
      </c>
      <c r="M37" t="s">
        <v>612</v>
      </c>
    </row>
    <row r="38" spans="1:13">
      <c r="A38" t="s">
        <v>664</v>
      </c>
      <c r="B38" t="s">
        <v>314</v>
      </c>
      <c r="C38" s="1">
        <v>45641</v>
      </c>
      <c r="D38" t="s">
        <v>105</v>
      </c>
      <c r="E38" t="s">
        <v>106</v>
      </c>
      <c r="F38" t="s">
        <v>107</v>
      </c>
      <c r="G38" t="s">
        <v>101</v>
      </c>
      <c r="H38" t="s">
        <v>108</v>
      </c>
      <c r="I38" t="s">
        <v>109</v>
      </c>
      <c r="J38" s="91">
        <v>3</v>
      </c>
      <c r="K38" s="91">
        <v>0</v>
      </c>
      <c r="M38" t="s">
        <v>612</v>
      </c>
    </row>
    <row r="39" spans="1:13">
      <c r="A39" t="s">
        <v>665</v>
      </c>
      <c r="B39" t="s">
        <v>357</v>
      </c>
      <c r="C39" s="1">
        <v>45649</v>
      </c>
      <c r="D39" t="s">
        <v>98</v>
      </c>
      <c r="E39" t="s">
        <v>99</v>
      </c>
      <c r="F39" t="s">
        <v>100</v>
      </c>
      <c r="G39" t="s">
        <v>101</v>
      </c>
      <c r="H39" t="s">
        <v>102</v>
      </c>
      <c r="I39" t="s">
        <v>103</v>
      </c>
      <c r="J39" s="91">
        <v>22.92</v>
      </c>
      <c r="K39" s="91">
        <v>0</v>
      </c>
      <c r="M39" t="s">
        <v>612</v>
      </c>
    </row>
    <row r="40" spans="1:13">
      <c r="A40" t="s">
        <v>666</v>
      </c>
      <c r="B40" t="s">
        <v>352</v>
      </c>
      <c r="C40" s="1">
        <v>45666</v>
      </c>
      <c r="D40" t="s">
        <v>128</v>
      </c>
      <c r="E40" t="s">
        <v>129</v>
      </c>
      <c r="F40" t="s">
        <v>130</v>
      </c>
      <c r="G40" t="s">
        <v>84</v>
      </c>
      <c r="H40" t="s">
        <v>131</v>
      </c>
      <c r="I40" t="s">
        <v>132</v>
      </c>
      <c r="J40" s="91">
        <v>2</v>
      </c>
      <c r="K40" s="91">
        <v>0</v>
      </c>
      <c r="M40" t="s">
        <v>613</v>
      </c>
    </row>
    <row r="41" spans="1:13">
      <c r="A41" t="s">
        <v>667</v>
      </c>
      <c r="B41" t="s">
        <v>359</v>
      </c>
      <c r="C41" s="1">
        <v>45666</v>
      </c>
      <c r="D41" t="s">
        <v>86</v>
      </c>
      <c r="E41" t="s">
        <v>87</v>
      </c>
      <c r="F41" t="s">
        <v>88</v>
      </c>
      <c r="G41" t="s">
        <v>84</v>
      </c>
      <c r="H41" t="s">
        <v>89</v>
      </c>
      <c r="I41" t="s">
        <v>90</v>
      </c>
      <c r="J41" s="91">
        <v>17.16</v>
      </c>
      <c r="K41" s="91">
        <v>0</v>
      </c>
      <c r="M41" t="s">
        <v>613</v>
      </c>
    </row>
    <row r="42" spans="1:13">
      <c r="A42" t="s">
        <v>668</v>
      </c>
      <c r="B42" t="s">
        <v>381</v>
      </c>
      <c r="C42" s="1">
        <v>45689</v>
      </c>
      <c r="D42" t="s">
        <v>98</v>
      </c>
      <c r="E42" t="s">
        <v>99</v>
      </c>
      <c r="F42" t="s">
        <v>100</v>
      </c>
      <c r="G42" t="s">
        <v>101</v>
      </c>
      <c r="H42" t="s">
        <v>102</v>
      </c>
      <c r="I42" t="s">
        <v>103</v>
      </c>
      <c r="J42" s="91">
        <v>22.92</v>
      </c>
      <c r="K42" s="91">
        <v>0</v>
      </c>
      <c r="M42" t="s">
        <v>613</v>
      </c>
    </row>
    <row r="43" spans="1:13">
      <c r="A43" t="s">
        <v>669</v>
      </c>
      <c r="B43" t="s">
        <v>378</v>
      </c>
      <c r="C43" s="1">
        <v>45701</v>
      </c>
      <c r="D43" t="s">
        <v>128</v>
      </c>
      <c r="E43" t="s">
        <v>129</v>
      </c>
      <c r="F43" t="s">
        <v>130</v>
      </c>
      <c r="G43" t="s">
        <v>84</v>
      </c>
      <c r="H43" t="s">
        <v>131</v>
      </c>
      <c r="I43" t="s">
        <v>132</v>
      </c>
      <c r="J43" s="91">
        <v>2</v>
      </c>
      <c r="K43" s="91">
        <v>0</v>
      </c>
      <c r="M43" t="s">
        <v>613</v>
      </c>
    </row>
    <row r="44" spans="1:13">
      <c r="A44" t="s">
        <v>670</v>
      </c>
      <c r="B44" t="s">
        <v>382</v>
      </c>
      <c r="C44" s="1">
        <v>45708</v>
      </c>
      <c r="D44" t="s">
        <v>86</v>
      </c>
      <c r="E44" t="s">
        <v>87</v>
      </c>
      <c r="F44" t="s">
        <v>88</v>
      </c>
      <c r="G44" t="s">
        <v>84</v>
      </c>
      <c r="H44" t="s">
        <v>89</v>
      </c>
      <c r="I44" t="s">
        <v>90</v>
      </c>
      <c r="J44" s="91">
        <v>15.03</v>
      </c>
      <c r="K44" s="91">
        <v>0</v>
      </c>
      <c r="M44" t="s">
        <v>613</v>
      </c>
    </row>
    <row r="45" spans="1:13">
      <c r="A45" t="s">
        <v>671</v>
      </c>
      <c r="B45" t="s">
        <v>402</v>
      </c>
      <c r="C45" s="1">
        <v>45710</v>
      </c>
      <c r="D45" t="s">
        <v>128</v>
      </c>
      <c r="E45" t="s">
        <v>129</v>
      </c>
      <c r="F45" t="s">
        <v>130</v>
      </c>
      <c r="G45" t="s">
        <v>84</v>
      </c>
      <c r="H45" t="s">
        <v>131</v>
      </c>
      <c r="I45" t="s">
        <v>132</v>
      </c>
      <c r="J45" s="91">
        <v>1</v>
      </c>
      <c r="K45" s="91">
        <v>0</v>
      </c>
      <c r="M45" t="s">
        <v>613</v>
      </c>
    </row>
    <row r="46" spans="1:13">
      <c r="A46" t="s">
        <v>672</v>
      </c>
      <c r="B46" t="s">
        <v>401</v>
      </c>
      <c r="C46" s="1">
        <v>45734</v>
      </c>
      <c r="D46" t="s">
        <v>98</v>
      </c>
      <c r="E46" t="s">
        <v>99</v>
      </c>
      <c r="F46" t="s">
        <v>100</v>
      </c>
      <c r="G46" t="s">
        <v>101</v>
      </c>
      <c r="H46" t="s">
        <v>102</v>
      </c>
      <c r="I46" t="s">
        <v>103</v>
      </c>
      <c r="J46" s="91">
        <v>15.94</v>
      </c>
      <c r="K46" s="91">
        <v>0</v>
      </c>
      <c r="M46" t="s">
        <v>613</v>
      </c>
    </row>
    <row r="47" spans="1:13">
      <c r="A47" t="s">
        <v>673</v>
      </c>
      <c r="B47" t="s">
        <v>363</v>
      </c>
      <c r="C47" s="1">
        <v>45741</v>
      </c>
      <c r="D47" t="s">
        <v>105</v>
      </c>
      <c r="E47" t="s">
        <v>106</v>
      </c>
      <c r="F47" t="s">
        <v>107</v>
      </c>
      <c r="G47" t="s">
        <v>101</v>
      </c>
      <c r="H47" t="s">
        <v>108</v>
      </c>
      <c r="I47" t="s">
        <v>109</v>
      </c>
      <c r="J47" s="91">
        <v>3</v>
      </c>
      <c r="K47" s="91">
        <v>0</v>
      </c>
      <c r="M47" t="s">
        <v>613</v>
      </c>
    </row>
    <row r="48" spans="1:13">
      <c r="A48" t="s">
        <v>674</v>
      </c>
      <c r="B48" t="s">
        <v>398</v>
      </c>
      <c r="C48" s="1">
        <v>45746</v>
      </c>
      <c r="D48" t="s">
        <v>128</v>
      </c>
      <c r="E48" t="s">
        <v>129</v>
      </c>
      <c r="F48" t="s">
        <v>130</v>
      </c>
      <c r="G48" t="s">
        <v>84</v>
      </c>
      <c r="H48" t="s">
        <v>131</v>
      </c>
      <c r="I48" t="s">
        <v>132</v>
      </c>
      <c r="J48" s="91">
        <v>1</v>
      </c>
      <c r="K48" s="91">
        <v>0</v>
      </c>
      <c r="M48" t="s">
        <v>613</v>
      </c>
    </row>
    <row r="49" spans="1:13">
      <c r="A49" t="s">
        <v>675</v>
      </c>
      <c r="B49" t="s">
        <v>370</v>
      </c>
      <c r="C49" s="1">
        <v>45750</v>
      </c>
      <c r="D49" t="s">
        <v>105</v>
      </c>
      <c r="E49" t="s">
        <v>106</v>
      </c>
      <c r="F49" t="s">
        <v>107</v>
      </c>
      <c r="G49" t="s">
        <v>101</v>
      </c>
      <c r="H49" t="s">
        <v>108</v>
      </c>
      <c r="I49" t="s">
        <v>109</v>
      </c>
      <c r="J49" s="91">
        <v>4.2089999999999996</v>
      </c>
      <c r="K49" s="91">
        <v>0</v>
      </c>
      <c r="M49" t="s">
        <v>613</v>
      </c>
    </row>
    <row r="50" spans="1:13">
      <c r="A50" t="s">
        <v>676</v>
      </c>
      <c r="B50" t="s">
        <v>406</v>
      </c>
      <c r="C50" s="1">
        <v>45754</v>
      </c>
      <c r="D50" t="s">
        <v>86</v>
      </c>
      <c r="E50" t="s">
        <v>87</v>
      </c>
      <c r="F50" t="s">
        <v>88</v>
      </c>
      <c r="G50" t="s">
        <v>84</v>
      </c>
      <c r="H50" t="s">
        <v>89</v>
      </c>
      <c r="I50" t="s">
        <v>90</v>
      </c>
      <c r="J50" s="91">
        <v>12.914999999999999</v>
      </c>
      <c r="K50" s="91">
        <v>0</v>
      </c>
      <c r="M50" t="s">
        <v>613</v>
      </c>
    </row>
    <row r="51" spans="1:13">
      <c r="A51" t="s">
        <v>677</v>
      </c>
      <c r="B51" t="s">
        <v>420</v>
      </c>
      <c r="C51" s="1">
        <v>45762</v>
      </c>
      <c r="D51" t="s">
        <v>98</v>
      </c>
      <c r="E51" t="s">
        <v>99</v>
      </c>
      <c r="F51" t="s">
        <v>100</v>
      </c>
      <c r="G51" t="s">
        <v>101</v>
      </c>
      <c r="H51" t="s">
        <v>102</v>
      </c>
      <c r="I51" t="s">
        <v>103</v>
      </c>
      <c r="J51" s="91">
        <v>14.727</v>
      </c>
      <c r="K51" s="91">
        <v>0</v>
      </c>
      <c r="M51" t="s">
        <v>613</v>
      </c>
    </row>
    <row r="52" spans="1:13">
      <c r="A52" t="s">
        <v>678</v>
      </c>
      <c r="B52" t="s">
        <v>441</v>
      </c>
      <c r="C52" s="1">
        <v>45761</v>
      </c>
      <c r="D52" t="s">
        <v>128</v>
      </c>
      <c r="E52" t="s">
        <v>129</v>
      </c>
      <c r="F52" t="s">
        <v>130</v>
      </c>
      <c r="G52" t="s">
        <v>84</v>
      </c>
      <c r="H52" t="s">
        <v>131</v>
      </c>
      <c r="I52" t="s">
        <v>132</v>
      </c>
      <c r="J52" s="91">
        <v>1.946</v>
      </c>
      <c r="K52" s="91">
        <v>0</v>
      </c>
      <c r="M52" t="s">
        <v>613</v>
      </c>
    </row>
    <row r="53" spans="1:13">
      <c r="A53" t="s">
        <v>679</v>
      </c>
      <c r="B53" t="s">
        <v>383</v>
      </c>
      <c r="C53" s="1">
        <v>45779</v>
      </c>
      <c r="D53" t="s">
        <v>105</v>
      </c>
      <c r="E53" t="s">
        <v>106</v>
      </c>
      <c r="F53" t="s">
        <v>107</v>
      </c>
      <c r="G53" t="s">
        <v>101</v>
      </c>
      <c r="H53" t="s">
        <v>108</v>
      </c>
      <c r="I53" t="s">
        <v>109</v>
      </c>
      <c r="J53" s="91">
        <v>3.903</v>
      </c>
      <c r="K53" s="91">
        <v>0</v>
      </c>
      <c r="M53" t="s">
        <v>613</v>
      </c>
    </row>
    <row r="54" spans="1:13">
      <c r="A54" t="s">
        <v>680</v>
      </c>
      <c r="B54" t="s">
        <v>422</v>
      </c>
      <c r="C54" s="1">
        <v>45785</v>
      </c>
      <c r="D54" t="s">
        <v>128</v>
      </c>
      <c r="E54" t="s">
        <v>129</v>
      </c>
      <c r="F54" t="s">
        <v>130</v>
      </c>
      <c r="G54" t="s">
        <v>84</v>
      </c>
      <c r="H54" t="s">
        <v>131</v>
      </c>
      <c r="I54" t="s">
        <v>132</v>
      </c>
      <c r="J54" s="91">
        <v>1.623</v>
      </c>
      <c r="K54" s="91">
        <v>0</v>
      </c>
      <c r="M54" t="s">
        <v>613</v>
      </c>
    </row>
    <row r="55" spans="1:13">
      <c r="A55" t="s">
        <v>681</v>
      </c>
      <c r="B55" t="s">
        <v>388</v>
      </c>
      <c r="C55" s="1">
        <v>45790</v>
      </c>
      <c r="D55" t="s">
        <v>105</v>
      </c>
      <c r="E55" t="s">
        <v>106</v>
      </c>
      <c r="F55" t="s">
        <v>107</v>
      </c>
      <c r="G55" t="s">
        <v>101</v>
      </c>
      <c r="H55" t="s">
        <v>108</v>
      </c>
      <c r="I55" t="s">
        <v>109</v>
      </c>
      <c r="J55" s="91">
        <v>3</v>
      </c>
      <c r="K55" s="91">
        <v>0</v>
      </c>
      <c r="M55" t="s">
        <v>613</v>
      </c>
    </row>
    <row r="56" spans="1:13">
      <c r="A56" t="s">
        <v>682</v>
      </c>
      <c r="B56" t="s">
        <v>431</v>
      </c>
      <c r="C56" s="1">
        <v>45789</v>
      </c>
      <c r="D56" t="s">
        <v>86</v>
      </c>
      <c r="E56" t="s">
        <v>87</v>
      </c>
      <c r="F56" t="s">
        <v>88</v>
      </c>
      <c r="G56" t="s">
        <v>84</v>
      </c>
      <c r="H56" t="s">
        <v>89</v>
      </c>
      <c r="I56" t="s">
        <v>90</v>
      </c>
      <c r="J56" s="91">
        <v>14.4</v>
      </c>
      <c r="K56" s="91">
        <v>0</v>
      </c>
      <c r="M56" t="s">
        <v>613</v>
      </c>
    </row>
    <row r="57" spans="1:13">
      <c r="A57" t="s">
        <v>683</v>
      </c>
      <c r="B57" t="s">
        <v>445</v>
      </c>
      <c r="C57" s="1">
        <v>45795</v>
      </c>
      <c r="D57" t="s">
        <v>98</v>
      </c>
      <c r="E57" t="s">
        <v>99</v>
      </c>
      <c r="F57" t="s">
        <v>100</v>
      </c>
      <c r="G57" t="s">
        <v>101</v>
      </c>
      <c r="H57" t="s">
        <v>102</v>
      </c>
      <c r="I57" t="s">
        <v>103</v>
      </c>
      <c r="J57" s="91">
        <v>19.149999999999999</v>
      </c>
      <c r="K57" s="91">
        <v>0</v>
      </c>
      <c r="M57" t="s">
        <v>613</v>
      </c>
    </row>
    <row r="58" spans="1:13">
      <c r="A58" t="s">
        <v>684</v>
      </c>
      <c r="B58" t="s">
        <v>433</v>
      </c>
      <c r="C58" s="1">
        <v>45802</v>
      </c>
      <c r="D58" t="s">
        <v>128</v>
      </c>
      <c r="E58" t="s">
        <v>129</v>
      </c>
      <c r="F58" t="s">
        <v>130</v>
      </c>
      <c r="G58" t="s">
        <v>84</v>
      </c>
      <c r="H58" t="s">
        <v>131</v>
      </c>
      <c r="I58" t="s">
        <v>132</v>
      </c>
      <c r="J58" s="91">
        <v>1</v>
      </c>
      <c r="K58" s="91">
        <v>0</v>
      </c>
      <c r="M58" t="s">
        <v>613</v>
      </c>
    </row>
    <row r="59" spans="1:13">
      <c r="A59" t="s">
        <v>685</v>
      </c>
      <c r="B59" t="s">
        <v>421</v>
      </c>
      <c r="C59" s="1">
        <v>45829</v>
      </c>
      <c r="D59" t="s">
        <v>105</v>
      </c>
      <c r="E59" t="s">
        <v>106</v>
      </c>
      <c r="F59" t="s">
        <v>107</v>
      </c>
      <c r="G59" t="s">
        <v>101</v>
      </c>
      <c r="H59" t="s">
        <v>108</v>
      </c>
      <c r="I59" t="s">
        <v>109</v>
      </c>
      <c r="J59" s="91">
        <v>2.3660000000000001</v>
      </c>
      <c r="K59" s="91">
        <v>0</v>
      </c>
      <c r="M59" t="s">
        <v>613</v>
      </c>
    </row>
    <row r="60" spans="1:13">
      <c r="A60" t="s">
        <v>686</v>
      </c>
      <c r="B60" t="s">
        <v>452</v>
      </c>
      <c r="C60" s="1">
        <v>45827</v>
      </c>
      <c r="D60" t="s">
        <v>86</v>
      </c>
      <c r="E60" t="s">
        <v>87</v>
      </c>
      <c r="F60" t="s">
        <v>88</v>
      </c>
      <c r="G60" t="s">
        <v>84</v>
      </c>
      <c r="H60" t="s">
        <v>89</v>
      </c>
      <c r="I60" t="s">
        <v>90</v>
      </c>
      <c r="J60" s="91">
        <v>14.385</v>
      </c>
      <c r="K60" s="91">
        <v>0</v>
      </c>
      <c r="M60" t="s">
        <v>613</v>
      </c>
    </row>
    <row r="61" spans="1:13">
      <c r="A61" t="s">
        <v>687</v>
      </c>
      <c r="B61" t="s">
        <v>465</v>
      </c>
      <c r="C61" s="1">
        <v>45839</v>
      </c>
      <c r="D61" t="s">
        <v>98</v>
      </c>
      <c r="E61" t="s">
        <v>99</v>
      </c>
      <c r="F61" t="s">
        <v>100</v>
      </c>
      <c r="G61" t="s">
        <v>101</v>
      </c>
      <c r="H61" t="s">
        <v>102</v>
      </c>
      <c r="I61" t="s">
        <v>103</v>
      </c>
      <c r="J61" s="91">
        <v>18.222999999999999</v>
      </c>
      <c r="K61" s="91">
        <v>0</v>
      </c>
      <c r="M61" t="s">
        <v>613</v>
      </c>
    </row>
    <row r="62" spans="1:13">
      <c r="A62" t="s">
        <v>688</v>
      </c>
      <c r="B62" t="s">
        <v>472</v>
      </c>
      <c r="C62" s="1">
        <v>45858</v>
      </c>
      <c r="D62" t="s">
        <v>86</v>
      </c>
      <c r="E62" t="s">
        <v>87</v>
      </c>
      <c r="F62" t="s">
        <v>88</v>
      </c>
      <c r="G62" t="s">
        <v>84</v>
      </c>
      <c r="H62" t="s">
        <v>89</v>
      </c>
      <c r="I62" t="s">
        <v>90</v>
      </c>
      <c r="J62" s="91">
        <v>14.385</v>
      </c>
      <c r="K62" s="91">
        <v>0</v>
      </c>
      <c r="M62" t="s">
        <v>613</v>
      </c>
    </row>
    <row r="63" spans="1:13">
      <c r="A63" t="s">
        <v>689</v>
      </c>
      <c r="B63" t="s">
        <v>485</v>
      </c>
      <c r="C63" s="1">
        <v>45865</v>
      </c>
      <c r="D63" t="s">
        <v>98</v>
      </c>
      <c r="E63" t="s">
        <v>99</v>
      </c>
      <c r="F63" t="s">
        <v>100</v>
      </c>
      <c r="G63" t="s">
        <v>101</v>
      </c>
      <c r="H63" t="s">
        <v>102</v>
      </c>
      <c r="I63" t="s">
        <v>103</v>
      </c>
      <c r="J63" s="91">
        <v>19.12</v>
      </c>
      <c r="K63" s="91">
        <v>0</v>
      </c>
      <c r="M63" t="s">
        <v>613</v>
      </c>
    </row>
    <row r="64" spans="1:13">
      <c r="A64" t="s">
        <v>690</v>
      </c>
      <c r="B64" t="s">
        <v>481</v>
      </c>
      <c r="C64" s="1">
        <v>45880</v>
      </c>
      <c r="D64" t="s">
        <v>128</v>
      </c>
      <c r="E64" t="s">
        <v>129</v>
      </c>
      <c r="F64" t="s">
        <v>130</v>
      </c>
      <c r="G64" t="s">
        <v>84</v>
      </c>
      <c r="H64" t="s">
        <v>131</v>
      </c>
      <c r="I64" t="s">
        <v>132</v>
      </c>
      <c r="J64" s="91">
        <v>1.1930000000000001</v>
      </c>
      <c r="K64" s="91">
        <v>0</v>
      </c>
      <c r="M64" t="s">
        <v>613</v>
      </c>
    </row>
    <row r="65" spans="1:13">
      <c r="A65" t="s">
        <v>691</v>
      </c>
      <c r="B65" t="s">
        <v>491</v>
      </c>
      <c r="C65" s="1">
        <v>45898</v>
      </c>
      <c r="D65" t="s">
        <v>86</v>
      </c>
      <c r="E65" t="s">
        <v>87</v>
      </c>
      <c r="F65" t="s">
        <v>88</v>
      </c>
      <c r="G65" t="s">
        <v>84</v>
      </c>
      <c r="H65" t="s">
        <v>89</v>
      </c>
      <c r="I65" t="s">
        <v>90</v>
      </c>
      <c r="J65" s="91">
        <v>14.31</v>
      </c>
      <c r="K65" s="91">
        <v>0</v>
      </c>
      <c r="M65" t="s">
        <v>613</v>
      </c>
    </row>
    <row r="66" spans="1:13">
      <c r="A66" t="s">
        <v>692</v>
      </c>
      <c r="B66" t="s">
        <v>505</v>
      </c>
      <c r="C66" s="1">
        <v>45903</v>
      </c>
      <c r="D66" t="s">
        <v>98</v>
      </c>
      <c r="E66" t="s">
        <v>99</v>
      </c>
      <c r="F66" t="s">
        <v>100</v>
      </c>
      <c r="G66" t="s">
        <v>101</v>
      </c>
      <c r="H66" t="s">
        <v>102</v>
      </c>
      <c r="I66" t="s">
        <v>103</v>
      </c>
      <c r="J66" s="91">
        <v>19</v>
      </c>
      <c r="K66" s="91">
        <v>0</v>
      </c>
      <c r="M66" t="s">
        <v>613</v>
      </c>
    </row>
    <row r="67" spans="1:13">
      <c r="A67" t="s">
        <v>693</v>
      </c>
      <c r="B67" t="s">
        <v>512</v>
      </c>
      <c r="C67" s="1">
        <v>45933</v>
      </c>
      <c r="D67" t="s">
        <v>86</v>
      </c>
      <c r="E67" t="s">
        <v>87</v>
      </c>
      <c r="F67" t="s">
        <v>88</v>
      </c>
      <c r="G67" t="s">
        <v>84</v>
      </c>
      <c r="H67" t="s">
        <v>89</v>
      </c>
      <c r="I67" t="s">
        <v>90</v>
      </c>
      <c r="J67" s="91">
        <v>14.28</v>
      </c>
      <c r="K67" s="91">
        <v>0</v>
      </c>
      <c r="M67" t="s">
        <v>613</v>
      </c>
    </row>
    <row r="68" spans="1:13">
      <c r="A68" t="s">
        <v>694</v>
      </c>
      <c r="B68" t="s">
        <v>523</v>
      </c>
      <c r="C68" s="1">
        <v>45944</v>
      </c>
      <c r="D68" t="s">
        <v>128</v>
      </c>
      <c r="E68" t="s">
        <v>129</v>
      </c>
      <c r="F68" t="s">
        <v>130</v>
      </c>
      <c r="G68" t="s">
        <v>84</v>
      </c>
      <c r="H68" t="s">
        <v>131</v>
      </c>
      <c r="I68" t="s">
        <v>132</v>
      </c>
      <c r="J68" s="91">
        <v>1</v>
      </c>
      <c r="K68" s="91">
        <v>0</v>
      </c>
      <c r="M68" t="s">
        <v>613</v>
      </c>
    </row>
    <row r="69" spans="1:13">
      <c r="A69" t="s">
        <v>695</v>
      </c>
      <c r="B69" t="s">
        <v>530</v>
      </c>
      <c r="C69" s="1">
        <v>45952</v>
      </c>
      <c r="D69" t="s">
        <v>98</v>
      </c>
      <c r="E69" t="s">
        <v>99</v>
      </c>
      <c r="F69" t="s">
        <v>100</v>
      </c>
      <c r="G69" t="s">
        <v>101</v>
      </c>
      <c r="H69" t="s">
        <v>102</v>
      </c>
      <c r="I69" t="s">
        <v>103</v>
      </c>
      <c r="J69" s="91">
        <v>19.100000000000001</v>
      </c>
      <c r="K69" s="91">
        <v>0</v>
      </c>
      <c r="M69" t="s">
        <v>613</v>
      </c>
    </row>
    <row r="70" spans="1:13">
      <c r="A70" t="s">
        <v>696</v>
      </c>
      <c r="B70" t="s">
        <v>492</v>
      </c>
      <c r="C70" s="1">
        <v>45960</v>
      </c>
      <c r="D70" t="s">
        <v>105</v>
      </c>
      <c r="E70" t="s">
        <v>106</v>
      </c>
      <c r="F70" t="s">
        <v>107</v>
      </c>
      <c r="G70" t="s">
        <v>101</v>
      </c>
      <c r="H70" t="s">
        <v>108</v>
      </c>
      <c r="I70" t="s">
        <v>109</v>
      </c>
      <c r="J70" s="91">
        <v>3.9820000000000002</v>
      </c>
      <c r="K70" s="91">
        <v>0</v>
      </c>
      <c r="M70" t="s">
        <v>613</v>
      </c>
    </row>
    <row r="71" spans="1:13">
      <c r="A71" t="s">
        <v>697</v>
      </c>
      <c r="B71" t="s">
        <v>461</v>
      </c>
      <c r="C71" s="1">
        <v>45977</v>
      </c>
      <c r="D71" t="s">
        <v>105</v>
      </c>
      <c r="E71" t="s">
        <v>106</v>
      </c>
      <c r="F71" t="s">
        <v>107</v>
      </c>
      <c r="G71" t="s">
        <v>101</v>
      </c>
      <c r="H71" t="s">
        <v>108</v>
      </c>
      <c r="I71" t="s">
        <v>109</v>
      </c>
      <c r="J71" s="91">
        <v>3.0190000000000001</v>
      </c>
      <c r="K71" s="91">
        <v>0</v>
      </c>
      <c r="M71" t="s">
        <v>613</v>
      </c>
    </row>
    <row r="72" spans="1:13">
      <c r="A72" t="s">
        <v>698</v>
      </c>
      <c r="B72" t="s">
        <v>542</v>
      </c>
      <c r="C72" s="1">
        <v>45979</v>
      </c>
      <c r="D72" t="s">
        <v>86</v>
      </c>
      <c r="E72" t="s">
        <v>87</v>
      </c>
      <c r="F72" t="s">
        <v>88</v>
      </c>
      <c r="G72" t="s">
        <v>84</v>
      </c>
      <c r="H72" t="s">
        <v>89</v>
      </c>
      <c r="I72" t="s">
        <v>90</v>
      </c>
      <c r="J72" s="91">
        <v>14.265000000000001</v>
      </c>
      <c r="K72" s="91">
        <v>0</v>
      </c>
      <c r="M72" t="s">
        <v>613</v>
      </c>
    </row>
    <row r="73" spans="1:13">
      <c r="A73" t="s">
        <v>699</v>
      </c>
      <c r="B73" t="s">
        <v>509</v>
      </c>
      <c r="C73" s="1">
        <v>45986</v>
      </c>
      <c r="D73" t="s">
        <v>105</v>
      </c>
      <c r="E73" t="s">
        <v>106</v>
      </c>
      <c r="F73" t="s">
        <v>107</v>
      </c>
      <c r="G73" t="s">
        <v>101</v>
      </c>
      <c r="H73" t="s">
        <v>108</v>
      </c>
      <c r="I73" t="s">
        <v>109</v>
      </c>
      <c r="J73" s="91">
        <v>3</v>
      </c>
      <c r="K73" s="91">
        <v>0</v>
      </c>
      <c r="M73" t="s">
        <v>613</v>
      </c>
    </row>
    <row r="74" spans="1:13">
      <c r="A74" t="s">
        <v>700</v>
      </c>
      <c r="B74" t="s">
        <v>551</v>
      </c>
      <c r="C74" s="1">
        <v>45990</v>
      </c>
      <c r="D74" t="s">
        <v>98</v>
      </c>
      <c r="E74" t="s">
        <v>99</v>
      </c>
      <c r="F74" t="s">
        <v>100</v>
      </c>
      <c r="G74" t="s">
        <v>101</v>
      </c>
      <c r="H74" t="s">
        <v>102</v>
      </c>
      <c r="I74" t="s">
        <v>103</v>
      </c>
      <c r="J74" s="91">
        <v>15.36</v>
      </c>
      <c r="K74" s="91">
        <v>0</v>
      </c>
      <c r="M74" t="s">
        <v>613</v>
      </c>
    </row>
    <row r="75" spans="1:13">
      <c r="A75" t="s">
        <v>701</v>
      </c>
      <c r="B75" t="s">
        <v>559</v>
      </c>
      <c r="C75" s="1">
        <v>45986</v>
      </c>
      <c r="D75" t="s">
        <v>105</v>
      </c>
      <c r="E75" t="s">
        <v>106</v>
      </c>
      <c r="F75" t="s">
        <v>107</v>
      </c>
      <c r="G75" t="s">
        <v>101</v>
      </c>
      <c r="H75" t="s">
        <v>108</v>
      </c>
      <c r="I75" t="s">
        <v>109</v>
      </c>
      <c r="J75" s="91">
        <v>2.4780000000000002</v>
      </c>
      <c r="K75" s="91">
        <v>0</v>
      </c>
      <c r="M75" t="s">
        <v>613</v>
      </c>
    </row>
    <row r="76" spans="1:13">
      <c r="A76" t="s">
        <v>702</v>
      </c>
      <c r="B76" t="s">
        <v>560</v>
      </c>
      <c r="C76" s="1">
        <v>46014</v>
      </c>
      <c r="D76" t="s">
        <v>128</v>
      </c>
      <c r="E76" t="s">
        <v>129</v>
      </c>
      <c r="F76" t="s">
        <v>130</v>
      </c>
      <c r="G76" t="s">
        <v>84</v>
      </c>
      <c r="H76" t="s">
        <v>131</v>
      </c>
      <c r="I76" t="s">
        <v>132</v>
      </c>
      <c r="J76" s="91">
        <v>2.8290000000000002</v>
      </c>
      <c r="K76" s="91">
        <v>0</v>
      </c>
      <c r="M76" t="s">
        <v>613</v>
      </c>
    </row>
    <row r="77" spans="1:13">
      <c r="A77" t="s">
        <v>703</v>
      </c>
      <c r="B77" t="s">
        <v>563</v>
      </c>
      <c r="C77" s="1">
        <v>46017</v>
      </c>
      <c r="D77" t="s">
        <v>86</v>
      </c>
      <c r="E77" t="s">
        <v>87</v>
      </c>
      <c r="F77" t="s">
        <v>88</v>
      </c>
      <c r="G77" t="s">
        <v>84</v>
      </c>
      <c r="H77" t="s">
        <v>89</v>
      </c>
      <c r="I77" t="s">
        <v>90</v>
      </c>
      <c r="J77" s="91">
        <v>11.595000000000001</v>
      </c>
      <c r="K77" s="91">
        <v>0</v>
      </c>
      <c r="M77" t="s">
        <v>613</v>
      </c>
    </row>
    <row r="78" spans="1:13">
      <c r="A78" t="s">
        <v>704</v>
      </c>
      <c r="B78" t="s">
        <v>139</v>
      </c>
      <c r="C78" s="1">
        <v>45195</v>
      </c>
      <c r="D78" t="s">
        <v>140</v>
      </c>
      <c r="E78" t="s">
        <v>141</v>
      </c>
      <c r="F78" t="s">
        <v>142</v>
      </c>
      <c r="G78" t="s">
        <v>84</v>
      </c>
      <c r="H78" t="s">
        <v>143</v>
      </c>
      <c r="I78" t="s">
        <v>144</v>
      </c>
      <c r="J78" s="91">
        <v>25873634.905000001</v>
      </c>
      <c r="K78" s="91">
        <v>1900.154</v>
      </c>
      <c r="L78" t="s">
        <v>705</v>
      </c>
      <c r="M78" t="s">
        <v>611</v>
      </c>
    </row>
    <row r="79" spans="1:13">
      <c r="A79" t="s">
        <v>706</v>
      </c>
      <c r="B79" t="s">
        <v>40</v>
      </c>
      <c r="C79" s="1">
        <v>45201</v>
      </c>
      <c r="D79" t="s">
        <v>41</v>
      </c>
      <c r="E79" t="s">
        <v>42</v>
      </c>
      <c r="F79" t="s">
        <v>43</v>
      </c>
      <c r="G79" t="s">
        <v>37</v>
      </c>
      <c r="H79" t="s">
        <v>44</v>
      </c>
      <c r="I79" t="s">
        <v>45</v>
      </c>
      <c r="J79" s="91">
        <v>56160</v>
      </c>
      <c r="K79" s="91">
        <v>3.9540000000000002</v>
      </c>
      <c r="L79" t="s">
        <v>707</v>
      </c>
      <c r="M79" t="s">
        <v>611</v>
      </c>
    </row>
    <row r="80" spans="1:13">
      <c r="A80" t="s">
        <v>708</v>
      </c>
      <c r="B80" t="s">
        <v>67</v>
      </c>
      <c r="C80" s="1">
        <v>45202</v>
      </c>
      <c r="D80" t="s">
        <v>68</v>
      </c>
      <c r="E80" t="s">
        <v>69</v>
      </c>
      <c r="F80" t="s">
        <v>43</v>
      </c>
      <c r="G80" t="s">
        <v>37</v>
      </c>
      <c r="H80" t="s">
        <v>70</v>
      </c>
      <c r="I80" t="s">
        <v>71</v>
      </c>
      <c r="J80" s="91">
        <v>187200</v>
      </c>
      <c r="K80" s="91">
        <v>31.007999999999999</v>
      </c>
      <c r="L80" t="s">
        <v>709</v>
      </c>
      <c r="M80" t="s">
        <v>611</v>
      </c>
    </row>
    <row r="81" spans="1:13">
      <c r="A81" t="s">
        <v>710</v>
      </c>
      <c r="B81" t="s">
        <v>72</v>
      </c>
      <c r="C81" s="1">
        <v>45202</v>
      </c>
      <c r="D81" t="s">
        <v>73</v>
      </c>
      <c r="E81" t="s">
        <v>74</v>
      </c>
      <c r="F81" t="s">
        <v>43</v>
      </c>
      <c r="G81" t="s">
        <v>37</v>
      </c>
      <c r="H81" t="s">
        <v>70</v>
      </c>
      <c r="I81" t="s">
        <v>71</v>
      </c>
      <c r="J81" s="91">
        <v>78000</v>
      </c>
      <c r="K81" s="91">
        <v>116.842</v>
      </c>
      <c r="L81" t="s">
        <v>705</v>
      </c>
      <c r="M81" t="s">
        <v>611</v>
      </c>
    </row>
    <row r="82" spans="1:13">
      <c r="A82" t="s">
        <v>711</v>
      </c>
      <c r="B82" t="s">
        <v>62</v>
      </c>
      <c r="C82" s="1">
        <v>45209</v>
      </c>
      <c r="D82" t="s">
        <v>63</v>
      </c>
      <c r="E82" t="s">
        <v>64</v>
      </c>
      <c r="F82" t="s">
        <v>49</v>
      </c>
      <c r="G82" t="s">
        <v>56</v>
      </c>
      <c r="H82" t="s">
        <v>65</v>
      </c>
      <c r="I82" t="s">
        <v>66</v>
      </c>
      <c r="J82" s="91">
        <v>3744</v>
      </c>
      <c r="K82" s="91">
        <v>5.1999999999999998E-2</v>
      </c>
      <c r="L82" t="s">
        <v>707</v>
      </c>
      <c r="M82" t="s">
        <v>611</v>
      </c>
    </row>
    <row r="83" spans="1:13">
      <c r="A83" t="s">
        <v>712</v>
      </c>
      <c r="B83" t="s">
        <v>75</v>
      </c>
      <c r="C83" s="1">
        <v>45218</v>
      </c>
      <c r="D83" t="s">
        <v>76</v>
      </c>
      <c r="E83" t="s">
        <v>77</v>
      </c>
      <c r="F83" t="s">
        <v>78</v>
      </c>
      <c r="G83" t="s">
        <v>37</v>
      </c>
      <c r="H83" t="s">
        <v>79</v>
      </c>
      <c r="I83" t="s">
        <v>80</v>
      </c>
      <c r="J83" s="91">
        <v>18720</v>
      </c>
      <c r="K83" s="91">
        <v>5.7329999999999997</v>
      </c>
      <c r="L83" t="s">
        <v>713</v>
      </c>
      <c r="M83" t="s">
        <v>611</v>
      </c>
    </row>
    <row r="84" spans="1:13">
      <c r="A84" t="s">
        <v>714</v>
      </c>
      <c r="B84" t="s">
        <v>81</v>
      </c>
      <c r="C84" s="1">
        <v>45217</v>
      </c>
      <c r="D84" t="s">
        <v>82</v>
      </c>
      <c r="E84" t="s">
        <v>83</v>
      </c>
      <c r="F84" t="s">
        <v>78</v>
      </c>
      <c r="G84" t="s">
        <v>84</v>
      </c>
      <c r="H84" t="s">
        <v>79</v>
      </c>
      <c r="I84" t="s">
        <v>80</v>
      </c>
      <c r="J84" s="91">
        <v>374.4</v>
      </c>
      <c r="K84" s="91">
        <v>0.41299999999999998</v>
      </c>
      <c r="L84" t="s">
        <v>713</v>
      </c>
      <c r="M84" t="s">
        <v>611</v>
      </c>
    </row>
    <row r="85" spans="1:13">
      <c r="A85" t="s">
        <v>715</v>
      </c>
      <c r="B85" t="s">
        <v>116</v>
      </c>
      <c r="C85" s="1">
        <v>45219</v>
      </c>
      <c r="D85" t="s">
        <v>117</v>
      </c>
      <c r="E85" t="s">
        <v>118</v>
      </c>
      <c r="F85" t="s">
        <v>119</v>
      </c>
      <c r="G85" t="s">
        <v>120</v>
      </c>
      <c r="H85" t="s">
        <v>121</v>
      </c>
      <c r="I85" t="s">
        <v>122</v>
      </c>
      <c r="J85" s="91">
        <v>17801921.204999998</v>
      </c>
      <c r="K85" s="91">
        <v>36844.67</v>
      </c>
      <c r="L85" t="s">
        <v>709</v>
      </c>
      <c r="M85" t="s">
        <v>611</v>
      </c>
    </row>
    <row r="86" spans="1:13">
      <c r="A86" t="s">
        <v>716</v>
      </c>
      <c r="B86" t="s">
        <v>123</v>
      </c>
      <c r="C86" s="1">
        <v>45218</v>
      </c>
      <c r="D86" t="s">
        <v>124</v>
      </c>
      <c r="E86" t="s">
        <v>125</v>
      </c>
      <c r="F86" t="s">
        <v>119</v>
      </c>
      <c r="G86" t="s">
        <v>126</v>
      </c>
      <c r="H86" t="s">
        <v>121</v>
      </c>
      <c r="I86" t="s">
        <v>122</v>
      </c>
      <c r="J86" s="91">
        <v>10384454.036</v>
      </c>
      <c r="K86" s="91">
        <v>31277.7</v>
      </c>
      <c r="L86" t="s">
        <v>705</v>
      </c>
      <c r="M86" t="s">
        <v>611</v>
      </c>
    </row>
    <row r="87" spans="1:13">
      <c r="A87" t="s">
        <v>717</v>
      </c>
      <c r="B87" t="s">
        <v>25</v>
      </c>
      <c r="C87" s="1">
        <v>45224</v>
      </c>
      <c r="D87" t="s">
        <v>26</v>
      </c>
      <c r="E87" t="s">
        <v>27</v>
      </c>
      <c r="F87" t="s">
        <v>28</v>
      </c>
      <c r="G87" t="s">
        <v>29</v>
      </c>
      <c r="H87" t="s">
        <v>30</v>
      </c>
      <c r="I87" t="s">
        <v>31</v>
      </c>
      <c r="J87" s="91">
        <v>31200</v>
      </c>
      <c r="K87" s="91">
        <v>5.492</v>
      </c>
      <c r="L87" t="s">
        <v>709</v>
      </c>
      <c r="M87" t="s">
        <v>611</v>
      </c>
    </row>
    <row r="88" spans="1:13">
      <c r="A88" t="s">
        <v>718</v>
      </c>
      <c r="B88" t="s">
        <v>53</v>
      </c>
      <c r="C88" s="1">
        <v>45222</v>
      </c>
      <c r="D88" t="s">
        <v>54</v>
      </c>
      <c r="E88" t="s">
        <v>55</v>
      </c>
      <c r="F88" t="s">
        <v>49</v>
      </c>
      <c r="G88" t="s">
        <v>56</v>
      </c>
      <c r="H88" t="s">
        <v>57</v>
      </c>
      <c r="I88" t="s">
        <v>58</v>
      </c>
      <c r="J88" s="91">
        <v>28080</v>
      </c>
      <c r="K88" s="91">
        <v>72.462000000000003</v>
      </c>
      <c r="L88" t="s">
        <v>709</v>
      </c>
      <c r="M88" t="s">
        <v>611</v>
      </c>
    </row>
    <row r="89" spans="1:13">
      <c r="A89" t="s">
        <v>719</v>
      </c>
      <c r="B89" t="s">
        <v>59</v>
      </c>
      <c r="C89" s="1">
        <v>45227</v>
      </c>
      <c r="D89" t="s">
        <v>60</v>
      </c>
      <c r="E89" t="s">
        <v>61</v>
      </c>
      <c r="F89" t="s">
        <v>49</v>
      </c>
      <c r="G89" t="s">
        <v>56</v>
      </c>
      <c r="H89" t="s">
        <v>57</v>
      </c>
      <c r="I89" t="s">
        <v>58</v>
      </c>
      <c r="J89" s="91">
        <v>2496</v>
      </c>
      <c r="K89" s="91">
        <v>1.63</v>
      </c>
      <c r="L89" t="s">
        <v>705</v>
      </c>
      <c r="M89" t="s">
        <v>611</v>
      </c>
    </row>
    <row r="90" spans="1:13">
      <c r="A90" t="s">
        <v>720</v>
      </c>
      <c r="B90" t="s">
        <v>147</v>
      </c>
      <c r="C90" s="1">
        <v>45231</v>
      </c>
      <c r="D90" t="s">
        <v>140</v>
      </c>
      <c r="E90" t="s">
        <v>141</v>
      </c>
      <c r="F90" t="s">
        <v>142</v>
      </c>
      <c r="G90" t="s">
        <v>84</v>
      </c>
      <c r="H90" t="s">
        <v>143</v>
      </c>
      <c r="I90" t="s">
        <v>144</v>
      </c>
      <c r="J90" s="91">
        <v>26067154.412</v>
      </c>
      <c r="K90" s="91">
        <v>1578.114</v>
      </c>
      <c r="L90" t="s">
        <v>705</v>
      </c>
      <c r="M90" t="s">
        <v>611</v>
      </c>
    </row>
    <row r="91" spans="1:13">
      <c r="A91" t="s">
        <v>721</v>
      </c>
      <c r="B91" t="s">
        <v>133</v>
      </c>
      <c r="C91" s="1">
        <v>45236</v>
      </c>
      <c r="D91" t="s">
        <v>134</v>
      </c>
      <c r="E91" t="s">
        <v>135</v>
      </c>
      <c r="F91" t="s">
        <v>136</v>
      </c>
      <c r="G91" t="s">
        <v>101</v>
      </c>
      <c r="H91" t="s">
        <v>137</v>
      </c>
      <c r="I91" t="s">
        <v>138</v>
      </c>
      <c r="J91" s="91">
        <v>83557.951000000001</v>
      </c>
      <c r="K91" s="91">
        <v>30.768000000000001</v>
      </c>
      <c r="L91" t="s">
        <v>709</v>
      </c>
      <c r="M91" t="s">
        <v>611</v>
      </c>
    </row>
    <row r="92" spans="1:13">
      <c r="A92" t="s">
        <v>722</v>
      </c>
      <c r="B92" t="s">
        <v>46</v>
      </c>
      <c r="C92" s="1">
        <v>45248</v>
      </c>
      <c r="D92" t="s">
        <v>47</v>
      </c>
      <c r="E92" t="s">
        <v>48</v>
      </c>
      <c r="F92" t="s">
        <v>49</v>
      </c>
      <c r="G92" t="s">
        <v>50</v>
      </c>
      <c r="H92" t="s">
        <v>51</v>
      </c>
      <c r="I92" t="s">
        <v>52</v>
      </c>
      <c r="J92" s="91">
        <v>187.2</v>
      </c>
      <c r="K92" s="91">
        <v>2.657</v>
      </c>
      <c r="L92" t="s">
        <v>707</v>
      </c>
      <c r="M92" t="s">
        <v>611</v>
      </c>
    </row>
    <row r="93" spans="1:13">
      <c r="A93" t="s">
        <v>723</v>
      </c>
      <c r="B93" t="s">
        <v>152</v>
      </c>
      <c r="C93" s="1">
        <v>45249</v>
      </c>
      <c r="D93" t="s">
        <v>41</v>
      </c>
      <c r="E93" t="s">
        <v>42</v>
      </c>
      <c r="F93" t="s">
        <v>43</v>
      </c>
      <c r="G93" t="s">
        <v>37</v>
      </c>
      <c r="H93" t="s">
        <v>44</v>
      </c>
      <c r="I93" t="s">
        <v>45</v>
      </c>
      <c r="J93" s="91">
        <v>51708.953999999998</v>
      </c>
      <c r="K93" s="91">
        <v>8.173</v>
      </c>
      <c r="L93" t="s">
        <v>724</v>
      </c>
      <c r="M93" t="s">
        <v>611</v>
      </c>
    </row>
    <row r="94" spans="1:13">
      <c r="A94" t="s">
        <v>725</v>
      </c>
      <c r="B94" t="s">
        <v>157</v>
      </c>
      <c r="C94" s="1">
        <v>45246</v>
      </c>
      <c r="D94" t="s">
        <v>68</v>
      </c>
      <c r="E94" t="s">
        <v>69</v>
      </c>
      <c r="F94" t="s">
        <v>43</v>
      </c>
      <c r="G94" t="s">
        <v>37</v>
      </c>
      <c r="H94" t="s">
        <v>70</v>
      </c>
      <c r="I94" t="s">
        <v>71</v>
      </c>
      <c r="J94" s="91">
        <v>172381.008</v>
      </c>
      <c r="K94" s="91">
        <v>6.359</v>
      </c>
      <c r="L94" t="s">
        <v>707</v>
      </c>
      <c r="M94" t="s">
        <v>611</v>
      </c>
    </row>
    <row r="95" spans="1:13">
      <c r="A95" t="s">
        <v>726</v>
      </c>
      <c r="B95" t="s">
        <v>33</v>
      </c>
      <c r="C95" s="1">
        <v>45253</v>
      </c>
      <c r="D95" t="s">
        <v>34</v>
      </c>
      <c r="E95" t="s">
        <v>35</v>
      </c>
      <c r="F95" t="s">
        <v>36</v>
      </c>
      <c r="G95" t="s">
        <v>37</v>
      </c>
      <c r="H95" t="s">
        <v>38</v>
      </c>
      <c r="I95" t="s">
        <v>39</v>
      </c>
      <c r="J95" s="91">
        <v>1092</v>
      </c>
      <c r="K95" s="91">
        <v>1.1299999999999999</v>
      </c>
      <c r="L95" t="s">
        <v>724</v>
      </c>
      <c r="M95" t="s">
        <v>611</v>
      </c>
    </row>
    <row r="96" spans="1:13">
      <c r="A96" t="s">
        <v>727</v>
      </c>
      <c r="B96" t="s">
        <v>91</v>
      </c>
      <c r="C96" s="1">
        <v>45256</v>
      </c>
      <c r="D96" t="s">
        <v>92</v>
      </c>
      <c r="E96" t="s">
        <v>93</v>
      </c>
      <c r="F96" t="s">
        <v>94</v>
      </c>
      <c r="G96" t="s">
        <v>56</v>
      </c>
      <c r="H96" t="s">
        <v>95</v>
      </c>
      <c r="I96" t="s">
        <v>96</v>
      </c>
      <c r="J96" s="91">
        <v>124.8</v>
      </c>
      <c r="K96" s="91">
        <v>0.39100000000000001</v>
      </c>
      <c r="L96" t="s">
        <v>724</v>
      </c>
      <c r="M96" t="s">
        <v>611</v>
      </c>
    </row>
    <row r="97" spans="1:13">
      <c r="A97" t="s">
        <v>728</v>
      </c>
      <c r="B97" t="s">
        <v>110</v>
      </c>
      <c r="C97" s="1">
        <v>45252</v>
      </c>
      <c r="D97" t="s">
        <v>111</v>
      </c>
      <c r="E97" t="s">
        <v>112</v>
      </c>
      <c r="F97" t="s">
        <v>113</v>
      </c>
      <c r="G97" t="s">
        <v>84</v>
      </c>
      <c r="H97" t="s">
        <v>114</v>
      </c>
      <c r="I97" t="s">
        <v>115</v>
      </c>
      <c r="J97" s="91">
        <v>29669868.673999999</v>
      </c>
      <c r="K97" s="91">
        <v>100436.061</v>
      </c>
      <c r="L97" t="s">
        <v>709</v>
      </c>
      <c r="M97" t="s">
        <v>611</v>
      </c>
    </row>
    <row r="98" spans="1:13">
      <c r="A98" t="s">
        <v>729</v>
      </c>
      <c r="B98" t="s">
        <v>156</v>
      </c>
      <c r="C98" s="1">
        <v>45250</v>
      </c>
      <c r="D98" t="s">
        <v>63</v>
      </c>
      <c r="E98" t="s">
        <v>64</v>
      </c>
      <c r="F98" t="s">
        <v>49</v>
      </c>
      <c r="G98" t="s">
        <v>56</v>
      </c>
      <c r="H98" t="s">
        <v>65</v>
      </c>
      <c r="I98" t="s">
        <v>66</v>
      </c>
      <c r="J98" s="91">
        <v>3447.0520000000001</v>
      </c>
      <c r="K98" s="91">
        <v>1.161</v>
      </c>
      <c r="L98" t="s">
        <v>713</v>
      </c>
      <c r="M98" t="s">
        <v>611</v>
      </c>
    </row>
    <row r="99" spans="1:13">
      <c r="A99" t="s">
        <v>730</v>
      </c>
      <c r="B99" t="s">
        <v>158</v>
      </c>
      <c r="C99" s="1">
        <v>45250</v>
      </c>
      <c r="D99" t="s">
        <v>73</v>
      </c>
      <c r="E99" t="s">
        <v>74</v>
      </c>
      <c r="F99" t="s">
        <v>43</v>
      </c>
      <c r="G99" t="s">
        <v>37</v>
      </c>
      <c r="H99" t="s">
        <v>70</v>
      </c>
      <c r="I99" t="s">
        <v>71</v>
      </c>
      <c r="J99" s="91">
        <v>71929.342000000004</v>
      </c>
      <c r="K99" s="91">
        <v>125.892</v>
      </c>
      <c r="L99" t="s">
        <v>709</v>
      </c>
      <c r="M99" t="s">
        <v>611</v>
      </c>
    </row>
    <row r="100" spans="1:13">
      <c r="A100" t="s">
        <v>731</v>
      </c>
      <c r="B100" t="s">
        <v>159</v>
      </c>
      <c r="C100" s="1">
        <v>45261</v>
      </c>
      <c r="D100" t="s">
        <v>76</v>
      </c>
      <c r="E100" t="s">
        <v>77</v>
      </c>
      <c r="F100" t="s">
        <v>78</v>
      </c>
      <c r="G100" t="s">
        <v>37</v>
      </c>
      <c r="H100" t="s">
        <v>79</v>
      </c>
      <c r="I100" t="s">
        <v>80</v>
      </c>
      <c r="J100" s="91">
        <v>17240.733</v>
      </c>
      <c r="K100" s="91">
        <v>14.997</v>
      </c>
      <c r="L100" t="s">
        <v>724</v>
      </c>
      <c r="M100" t="s">
        <v>611</v>
      </c>
    </row>
    <row r="101" spans="1:13">
      <c r="A101" t="s">
        <v>732</v>
      </c>
      <c r="B101" t="s">
        <v>160</v>
      </c>
      <c r="C101" s="1">
        <v>45259</v>
      </c>
      <c r="D101" t="s">
        <v>82</v>
      </c>
      <c r="E101" t="s">
        <v>83</v>
      </c>
      <c r="F101" t="s">
        <v>78</v>
      </c>
      <c r="G101" t="s">
        <v>84</v>
      </c>
      <c r="H101" t="s">
        <v>79</v>
      </c>
      <c r="I101" t="s">
        <v>80</v>
      </c>
      <c r="J101" s="91">
        <v>345.113</v>
      </c>
      <c r="K101" s="91">
        <v>0.20799999999999999</v>
      </c>
      <c r="L101" t="s">
        <v>713</v>
      </c>
      <c r="M101" t="s">
        <v>611</v>
      </c>
    </row>
    <row r="102" spans="1:13">
      <c r="A102" t="s">
        <v>733</v>
      </c>
      <c r="B102" t="s">
        <v>167</v>
      </c>
      <c r="C102" s="1">
        <v>45262</v>
      </c>
      <c r="D102" t="s">
        <v>124</v>
      </c>
      <c r="E102" t="s">
        <v>125</v>
      </c>
      <c r="F102" t="s">
        <v>119</v>
      </c>
      <c r="G102" t="s">
        <v>126</v>
      </c>
      <c r="H102" t="s">
        <v>121</v>
      </c>
      <c r="I102" t="s">
        <v>122</v>
      </c>
      <c r="J102" s="91">
        <v>9258227.3330000006</v>
      </c>
      <c r="K102" s="91">
        <v>12859.69</v>
      </c>
      <c r="L102" t="s">
        <v>707</v>
      </c>
      <c r="M102" t="s">
        <v>611</v>
      </c>
    </row>
    <row r="103" spans="1:13">
      <c r="A103" t="s">
        <v>734</v>
      </c>
      <c r="B103" t="s">
        <v>148</v>
      </c>
      <c r="C103" s="1">
        <v>45265</v>
      </c>
      <c r="D103" t="s">
        <v>26</v>
      </c>
      <c r="E103" t="s">
        <v>27</v>
      </c>
      <c r="F103" t="s">
        <v>28</v>
      </c>
      <c r="G103" t="s">
        <v>29</v>
      </c>
      <c r="H103" t="s">
        <v>149</v>
      </c>
      <c r="I103" t="s">
        <v>150</v>
      </c>
      <c r="J103" s="91">
        <v>28730.491999999998</v>
      </c>
      <c r="K103" s="91">
        <v>27.702999999999999</v>
      </c>
      <c r="L103" t="s">
        <v>705</v>
      </c>
      <c r="M103" t="s">
        <v>611</v>
      </c>
    </row>
    <row r="104" spans="1:13">
      <c r="A104" t="s">
        <v>735</v>
      </c>
      <c r="B104" t="s">
        <v>154</v>
      </c>
      <c r="C104" s="1">
        <v>45268</v>
      </c>
      <c r="D104" t="s">
        <v>54</v>
      </c>
      <c r="E104" t="s">
        <v>55</v>
      </c>
      <c r="F104" t="s">
        <v>49</v>
      </c>
      <c r="G104" t="s">
        <v>56</v>
      </c>
      <c r="H104" t="s">
        <v>57</v>
      </c>
      <c r="I104" t="s">
        <v>58</v>
      </c>
      <c r="J104" s="91">
        <v>25924.962</v>
      </c>
      <c r="K104" s="91">
        <v>35.180999999999997</v>
      </c>
      <c r="L104" t="s">
        <v>705</v>
      </c>
      <c r="M104" t="s">
        <v>611</v>
      </c>
    </row>
    <row r="105" spans="1:13">
      <c r="A105" t="s">
        <v>736</v>
      </c>
      <c r="B105" t="s">
        <v>155</v>
      </c>
      <c r="C105" s="1">
        <v>45267</v>
      </c>
      <c r="D105" t="s">
        <v>60</v>
      </c>
      <c r="E105" t="s">
        <v>61</v>
      </c>
      <c r="F105" t="s">
        <v>49</v>
      </c>
      <c r="G105" t="s">
        <v>56</v>
      </c>
      <c r="H105" t="s">
        <v>57</v>
      </c>
      <c r="I105" t="s">
        <v>58</v>
      </c>
      <c r="J105" s="91">
        <v>2299.63</v>
      </c>
      <c r="K105" s="91">
        <v>4.2539999999999996</v>
      </c>
      <c r="L105" t="s">
        <v>709</v>
      </c>
      <c r="M105" t="s">
        <v>611</v>
      </c>
    </row>
    <row r="106" spans="1:13">
      <c r="A106" t="s">
        <v>737</v>
      </c>
      <c r="B106" t="s">
        <v>166</v>
      </c>
      <c r="C106" s="1">
        <v>45265</v>
      </c>
      <c r="D106" t="s">
        <v>117</v>
      </c>
      <c r="E106" t="s">
        <v>118</v>
      </c>
      <c r="F106" t="s">
        <v>119</v>
      </c>
      <c r="G106" t="s">
        <v>120</v>
      </c>
      <c r="H106" t="s">
        <v>121</v>
      </c>
      <c r="I106" t="s">
        <v>122</v>
      </c>
      <c r="J106" s="91">
        <v>15854472.612</v>
      </c>
      <c r="K106" s="91">
        <v>6386.0550000000003</v>
      </c>
      <c r="L106" t="s">
        <v>705</v>
      </c>
      <c r="M106" t="s">
        <v>611</v>
      </c>
    </row>
    <row r="107" spans="1:13">
      <c r="A107" t="s">
        <v>738</v>
      </c>
      <c r="B107" t="s">
        <v>146</v>
      </c>
      <c r="C107" s="1">
        <v>45272</v>
      </c>
      <c r="D107" t="s">
        <v>134</v>
      </c>
      <c r="E107" t="s">
        <v>135</v>
      </c>
      <c r="F107" t="s">
        <v>136</v>
      </c>
      <c r="G107" t="s">
        <v>101</v>
      </c>
      <c r="H107" t="s">
        <v>137</v>
      </c>
      <c r="I107" t="s">
        <v>138</v>
      </c>
      <c r="J107" s="91">
        <v>66180.67</v>
      </c>
      <c r="K107" s="91">
        <v>5.3630000000000004</v>
      </c>
      <c r="L107" t="s">
        <v>724</v>
      </c>
      <c r="M107" t="s">
        <v>611</v>
      </c>
    </row>
    <row r="108" spans="1:13">
      <c r="A108" t="s">
        <v>739</v>
      </c>
      <c r="B108" t="s">
        <v>177</v>
      </c>
      <c r="C108" s="1">
        <v>45273</v>
      </c>
      <c r="D108" t="s">
        <v>140</v>
      </c>
      <c r="E108" t="s">
        <v>141</v>
      </c>
      <c r="F108" t="s">
        <v>142</v>
      </c>
      <c r="G108" t="s">
        <v>84</v>
      </c>
      <c r="H108" t="s">
        <v>143</v>
      </c>
      <c r="I108" t="s">
        <v>144</v>
      </c>
      <c r="J108" s="91">
        <v>27207999.684</v>
      </c>
      <c r="K108" s="91">
        <v>16024.375</v>
      </c>
      <c r="L108" t="s">
        <v>707</v>
      </c>
      <c r="M108" t="s">
        <v>611</v>
      </c>
    </row>
    <row r="109" spans="1:13">
      <c r="A109" t="s">
        <v>740</v>
      </c>
      <c r="B109" t="s">
        <v>153</v>
      </c>
      <c r="C109" s="1">
        <v>45280</v>
      </c>
      <c r="D109" t="s">
        <v>47</v>
      </c>
      <c r="E109" t="s">
        <v>48</v>
      </c>
      <c r="F109" t="s">
        <v>49</v>
      </c>
      <c r="G109" t="s">
        <v>50</v>
      </c>
      <c r="H109" t="s">
        <v>51</v>
      </c>
      <c r="I109" t="s">
        <v>52</v>
      </c>
      <c r="J109" s="91">
        <v>172.35</v>
      </c>
      <c r="K109" s="91">
        <v>0.42299999999999999</v>
      </c>
      <c r="L109" t="s">
        <v>713</v>
      </c>
      <c r="M109" t="s">
        <v>611</v>
      </c>
    </row>
    <row r="110" spans="1:13">
      <c r="A110" t="s">
        <v>741</v>
      </c>
      <c r="B110" t="s">
        <v>183</v>
      </c>
      <c r="C110" s="1">
        <v>45285</v>
      </c>
      <c r="D110" t="s">
        <v>68</v>
      </c>
      <c r="E110" t="s">
        <v>69</v>
      </c>
      <c r="F110" t="s">
        <v>43</v>
      </c>
      <c r="G110" t="s">
        <v>37</v>
      </c>
      <c r="H110" t="s">
        <v>44</v>
      </c>
      <c r="I110" t="s">
        <v>45</v>
      </c>
      <c r="J110" s="91">
        <v>172506.359</v>
      </c>
      <c r="K110" s="91">
        <v>75.167000000000002</v>
      </c>
      <c r="L110" t="s">
        <v>713</v>
      </c>
      <c r="M110" t="s">
        <v>611</v>
      </c>
    </row>
    <row r="111" spans="1:13">
      <c r="A111" t="s">
        <v>742</v>
      </c>
      <c r="B111" t="s">
        <v>151</v>
      </c>
      <c r="C111" s="1">
        <v>45293</v>
      </c>
      <c r="D111" t="s">
        <v>34</v>
      </c>
      <c r="E111" t="s">
        <v>35</v>
      </c>
      <c r="F111" t="s">
        <v>36</v>
      </c>
      <c r="G111" t="s">
        <v>37</v>
      </c>
      <c r="H111" t="s">
        <v>38</v>
      </c>
      <c r="I111" t="s">
        <v>39</v>
      </c>
      <c r="J111" s="91">
        <v>1005.375</v>
      </c>
      <c r="K111" s="91">
        <v>1.0109999999999999</v>
      </c>
      <c r="L111" t="s">
        <v>709</v>
      </c>
      <c r="M111" t="s">
        <v>612</v>
      </c>
    </row>
    <row r="112" spans="1:13">
      <c r="A112" t="s">
        <v>743</v>
      </c>
      <c r="B112" t="s">
        <v>162</v>
      </c>
      <c r="C112" s="1">
        <v>45293</v>
      </c>
      <c r="D112" t="s">
        <v>92</v>
      </c>
      <c r="E112" t="s">
        <v>93</v>
      </c>
      <c r="F112" t="s">
        <v>94</v>
      </c>
      <c r="G112" t="s">
        <v>56</v>
      </c>
      <c r="H112" t="s">
        <v>95</v>
      </c>
      <c r="I112" t="s">
        <v>96</v>
      </c>
      <c r="J112" s="91">
        <v>114.9</v>
      </c>
      <c r="K112" s="91">
        <v>4.2000000000000003E-2</v>
      </c>
      <c r="L112" t="s">
        <v>724</v>
      </c>
      <c r="M112" t="s">
        <v>612</v>
      </c>
    </row>
    <row r="113" spans="1:13">
      <c r="A113" t="s">
        <v>744</v>
      </c>
      <c r="B113" t="s">
        <v>175</v>
      </c>
      <c r="C113" s="1">
        <v>45297</v>
      </c>
      <c r="D113" t="s">
        <v>117</v>
      </c>
      <c r="E113" t="s">
        <v>118</v>
      </c>
      <c r="F113" t="s">
        <v>119</v>
      </c>
      <c r="G113" t="s">
        <v>120</v>
      </c>
      <c r="H113" t="s">
        <v>121</v>
      </c>
      <c r="I113" t="s">
        <v>122</v>
      </c>
      <c r="J113" s="91">
        <v>13730058.976</v>
      </c>
      <c r="K113" s="91">
        <v>1631.943</v>
      </c>
      <c r="L113" t="s">
        <v>709</v>
      </c>
      <c r="M113" t="s">
        <v>612</v>
      </c>
    </row>
    <row r="114" spans="1:13">
      <c r="A114" t="s">
        <v>745</v>
      </c>
      <c r="B114" t="s">
        <v>176</v>
      </c>
      <c r="C114" s="1">
        <v>45297</v>
      </c>
      <c r="D114" t="s">
        <v>124</v>
      </c>
      <c r="E114" t="s">
        <v>125</v>
      </c>
      <c r="F114" t="s">
        <v>119</v>
      </c>
      <c r="G114" t="s">
        <v>126</v>
      </c>
      <c r="H114" t="s">
        <v>121</v>
      </c>
      <c r="I114" t="s">
        <v>122</v>
      </c>
      <c r="J114" s="91">
        <v>8022060.7589999996</v>
      </c>
      <c r="K114" s="91">
        <v>7914.11</v>
      </c>
      <c r="L114" t="s">
        <v>709</v>
      </c>
      <c r="M114" t="s">
        <v>612</v>
      </c>
    </row>
    <row r="115" spans="1:13">
      <c r="A115" t="s">
        <v>746</v>
      </c>
      <c r="B115" t="s">
        <v>179</v>
      </c>
      <c r="C115" s="1">
        <v>45298</v>
      </c>
      <c r="D115" t="s">
        <v>41</v>
      </c>
      <c r="E115" t="s">
        <v>42</v>
      </c>
      <c r="F115" t="s">
        <v>43</v>
      </c>
      <c r="G115" t="s">
        <v>37</v>
      </c>
      <c r="H115" t="s">
        <v>44</v>
      </c>
      <c r="I115" t="s">
        <v>45</v>
      </c>
      <c r="J115" s="91">
        <v>39545.379000000001</v>
      </c>
      <c r="K115" s="91">
        <v>2.0710000000000002</v>
      </c>
      <c r="L115" t="s">
        <v>705</v>
      </c>
      <c r="M115" t="s">
        <v>612</v>
      </c>
    </row>
    <row r="116" spans="1:13">
      <c r="A116" t="s">
        <v>747</v>
      </c>
      <c r="B116" t="s">
        <v>182</v>
      </c>
      <c r="C116" s="1">
        <v>45296</v>
      </c>
      <c r="D116" t="s">
        <v>63</v>
      </c>
      <c r="E116" t="s">
        <v>64</v>
      </c>
      <c r="F116" t="s">
        <v>49</v>
      </c>
      <c r="G116" t="s">
        <v>56</v>
      </c>
      <c r="H116" t="s">
        <v>65</v>
      </c>
      <c r="I116" t="s">
        <v>66</v>
      </c>
      <c r="J116" s="91">
        <v>3451.1610000000001</v>
      </c>
      <c r="K116" s="91">
        <v>0.21199999999999999</v>
      </c>
      <c r="L116" t="s">
        <v>724</v>
      </c>
      <c r="M116" t="s">
        <v>612</v>
      </c>
    </row>
    <row r="117" spans="1:13">
      <c r="A117" t="s">
        <v>748</v>
      </c>
      <c r="B117" t="s">
        <v>172</v>
      </c>
      <c r="C117" s="1">
        <v>45301</v>
      </c>
      <c r="D117" t="s">
        <v>73</v>
      </c>
      <c r="E117" t="s">
        <v>74</v>
      </c>
      <c r="F117" t="s">
        <v>43</v>
      </c>
      <c r="G117" t="s">
        <v>37</v>
      </c>
      <c r="H117" t="s">
        <v>70</v>
      </c>
      <c r="I117" t="s">
        <v>71</v>
      </c>
      <c r="J117" s="91">
        <v>60063.392</v>
      </c>
      <c r="K117" s="91">
        <v>39.823</v>
      </c>
      <c r="L117" t="s">
        <v>713</v>
      </c>
      <c r="M117" t="s">
        <v>612</v>
      </c>
    </row>
    <row r="118" spans="1:13">
      <c r="A118" t="s">
        <v>749</v>
      </c>
      <c r="B118" t="s">
        <v>184</v>
      </c>
      <c r="C118" s="1">
        <v>45302</v>
      </c>
      <c r="D118" t="s">
        <v>76</v>
      </c>
      <c r="E118" t="s">
        <v>77</v>
      </c>
      <c r="F118" t="s">
        <v>78</v>
      </c>
      <c r="G118" t="s">
        <v>37</v>
      </c>
      <c r="H118" t="s">
        <v>79</v>
      </c>
      <c r="I118" t="s">
        <v>80</v>
      </c>
      <c r="J118" s="91">
        <v>17264.996999999999</v>
      </c>
      <c r="K118" s="91">
        <v>10.613</v>
      </c>
      <c r="L118" t="s">
        <v>724</v>
      </c>
      <c r="M118" t="s">
        <v>612</v>
      </c>
    </row>
    <row r="119" spans="1:13">
      <c r="A119" t="s">
        <v>750</v>
      </c>
      <c r="B119" t="s">
        <v>185</v>
      </c>
      <c r="C119" s="1">
        <v>45305</v>
      </c>
      <c r="D119" t="s">
        <v>82</v>
      </c>
      <c r="E119" t="s">
        <v>83</v>
      </c>
      <c r="F119" t="s">
        <v>78</v>
      </c>
      <c r="G119" t="s">
        <v>84</v>
      </c>
      <c r="H119" t="s">
        <v>79</v>
      </c>
      <c r="I119" t="s">
        <v>80</v>
      </c>
      <c r="J119" s="91">
        <v>345.20800000000003</v>
      </c>
      <c r="K119" s="91">
        <v>0.376</v>
      </c>
      <c r="L119" t="s">
        <v>705</v>
      </c>
      <c r="M119" t="s">
        <v>612</v>
      </c>
    </row>
    <row r="120" spans="1:13">
      <c r="A120" t="s">
        <v>751</v>
      </c>
      <c r="B120" t="s">
        <v>165</v>
      </c>
      <c r="C120" s="1">
        <v>45306</v>
      </c>
      <c r="D120" t="s">
        <v>111</v>
      </c>
      <c r="E120" t="s">
        <v>112</v>
      </c>
      <c r="F120" t="s">
        <v>113</v>
      </c>
      <c r="G120" t="s">
        <v>84</v>
      </c>
      <c r="H120" t="s">
        <v>114</v>
      </c>
      <c r="I120" t="s">
        <v>115</v>
      </c>
      <c r="J120" s="91">
        <v>26362713.237</v>
      </c>
      <c r="K120" s="91">
        <v>171322.42499999999</v>
      </c>
      <c r="L120" t="s">
        <v>713</v>
      </c>
      <c r="M120" t="s">
        <v>612</v>
      </c>
    </row>
    <row r="121" spans="1:13">
      <c r="A121" t="s">
        <v>752</v>
      </c>
      <c r="B121" t="s">
        <v>169</v>
      </c>
      <c r="C121" s="1">
        <v>45312</v>
      </c>
      <c r="D121" t="s">
        <v>134</v>
      </c>
      <c r="E121" t="s">
        <v>135</v>
      </c>
      <c r="F121" t="s">
        <v>136</v>
      </c>
      <c r="G121" t="s">
        <v>101</v>
      </c>
      <c r="H121" t="s">
        <v>137</v>
      </c>
      <c r="I121" t="s">
        <v>138</v>
      </c>
      <c r="J121" s="91">
        <v>68554.228000000003</v>
      </c>
      <c r="K121" s="91">
        <v>8.5779999999999994</v>
      </c>
      <c r="L121" t="s">
        <v>713</v>
      </c>
      <c r="M121" t="s">
        <v>612</v>
      </c>
    </row>
    <row r="122" spans="1:13">
      <c r="A122" t="s">
        <v>753</v>
      </c>
      <c r="B122" t="s">
        <v>178</v>
      </c>
      <c r="C122" s="1">
        <v>45311</v>
      </c>
      <c r="D122" t="s">
        <v>26</v>
      </c>
      <c r="E122" t="s">
        <v>27</v>
      </c>
      <c r="F122" t="s">
        <v>28</v>
      </c>
      <c r="G122" t="s">
        <v>29</v>
      </c>
      <c r="H122" t="s">
        <v>30</v>
      </c>
      <c r="I122" t="s">
        <v>31</v>
      </c>
      <c r="J122" s="91">
        <v>28777.703000000001</v>
      </c>
      <c r="K122" s="91">
        <v>14.250999999999999</v>
      </c>
      <c r="L122" t="s">
        <v>724</v>
      </c>
      <c r="M122" t="s">
        <v>612</v>
      </c>
    </row>
    <row r="123" spans="1:13">
      <c r="A123" t="s">
        <v>754</v>
      </c>
      <c r="B123" t="s">
        <v>180</v>
      </c>
      <c r="C123" s="1">
        <v>45309</v>
      </c>
      <c r="D123" t="s">
        <v>54</v>
      </c>
      <c r="E123" t="s">
        <v>55</v>
      </c>
      <c r="F123" t="s">
        <v>49</v>
      </c>
      <c r="G123" t="s">
        <v>56</v>
      </c>
      <c r="H123" t="s">
        <v>57</v>
      </c>
      <c r="I123" t="s">
        <v>58</v>
      </c>
      <c r="J123" s="91">
        <v>25910.181</v>
      </c>
      <c r="K123" s="91">
        <v>8.9489999999999998</v>
      </c>
      <c r="L123" t="s">
        <v>709</v>
      </c>
      <c r="M123" t="s">
        <v>612</v>
      </c>
    </row>
    <row r="124" spans="1:13">
      <c r="A124" t="s">
        <v>755</v>
      </c>
      <c r="B124" t="s">
        <v>181</v>
      </c>
      <c r="C124" s="1">
        <v>45309</v>
      </c>
      <c r="D124" t="s">
        <v>60</v>
      </c>
      <c r="E124" t="s">
        <v>61</v>
      </c>
      <c r="F124" t="s">
        <v>49</v>
      </c>
      <c r="G124" t="s">
        <v>56</v>
      </c>
      <c r="H124" t="s">
        <v>57</v>
      </c>
      <c r="I124" t="s">
        <v>58</v>
      </c>
      <c r="J124" s="91">
        <v>2304.2539999999999</v>
      </c>
      <c r="K124" s="91">
        <v>5.2789999999999999</v>
      </c>
      <c r="L124" t="s">
        <v>709</v>
      </c>
      <c r="M124" t="s">
        <v>612</v>
      </c>
    </row>
    <row r="125" spans="1:13">
      <c r="A125" t="s">
        <v>756</v>
      </c>
      <c r="B125" t="s">
        <v>195</v>
      </c>
      <c r="C125" s="1">
        <v>45309</v>
      </c>
      <c r="D125" t="s">
        <v>140</v>
      </c>
      <c r="E125" t="s">
        <v>141</v>
      </c>
      <c r="F125" t="s">
        <v>142</v>
      </c>
      <c r="G125" t="s">
        <v>84</v>
      </c>
      <c r="H125" t="s">
        <v>143</v>
      </c>
      <c r="I125" t="s">
        <v>144</v>
      </c>
      <c r="J125" s="91">
        <v>22890591.607999999</v>
      </c>
      <c r="K125" s="91">
        <v>2219.3829999999998</v>
      </c>
      <c r="L125" t="s">
        <v>724</v>
      </c>
      <c r="M125" t="s">
        <v>612</v>
      </c>
    </row>
    <row r="126" spans="1:13">
      <c r="A126" t="s">
        <v>757</v>
      </c>
      <c r="B126" t="s">
        <v>188</v>
      </c>
      <c r="C126" s="1">
        <v>45314</v>
      </c>
      <c r="D126" t="s">
        <v>41</v>
      </c>
      <c r="E126" t="s">
        <v>42</v>
      </c>
      <c r="F126" t="s">
        <v>43</v>
      </c>
      <c r="G126" t="s">
        <v>37</v>
      </c>
      <c r="H126" t="s">
        <v>44</v>
      </c>
      <c r="I126" t="s">
        <v>45</v>
      </c>
      <c r="J126" s="91">
        <v>46729.864999999998</v>
      </c>
      <c r="K126" s="91">
        <v>8.0830000000000002</v>
      </c>
      <c r="L126" t="s">
        <v>713</v>
      </c>
      <c r="M126" t="s">
        <v>612</v>
      </c>
    </row>
    <row r="127" spans="1:13">
      <c r="A127" t="s">
        <v>758</v>
      </c>
      <c r="B127" t="s">
        <v>173</v>
      </c>
      <c r="C127" s="1">
        <v>45326</v>
      </c>
      <c r="D127" t="s">
        <v>92</v>
      </c>
      <c r="E127" t="s">
        <v>93</v>
      </c>
      <c r="F127" t="s">
        <v>94</v>
      </c>
      <c r="G127" t="s">
        <v>56</v>
      </c>
      <c r="H127" t="s">
        <v>95</v>
      </c>
      <c r="I127" t="s">
        <v>96</v>
      </c>
      <c r="J127" s="91">
        <v>75.364999999999995</v>
      </c>
      <c r="K127" s="91">
        <v>0.40600000000000003</v>
      </c>
      <c r="L127" t="s">
        <v>707</v>
      </c>
      <c r="M127" t="s">
        <v>612</v>
      </c>
    </row>
    <row r="128" spans="1:13">
      <c r="A128" t="s">
        <v>759</v>
      </c>
      <c r="B128" t="s">
        <v>197</v>
      </c>
      <c r="C128" s="1">
        <v>45321</v>
      </c>
      <c r="D128" t="s">
        <v>73</v>
      </c>
      <c r="E128" t="s">
        <v>74</v>
      </c>
      <c r="F128" t="s">
        <v>43</v>
      </c>
      <c r="G128" t="s">
        <v>37</v>
      </c>
      <c r="H128" t="s">
        <v>70</v>
      </c>
      <c r="I128" t="s">
        <v>71</v>
      </c>
      <c r="J128" s="91">
        <v>71914.823000000004</v>
      </c>
      <c r="K128" s="91">
        <v>85.129000000000005</v>
      </c>
      <c r="L128" t="s">
        <v>709</v>
      </c>
      <c r="M128" t="s">
        <v>612</v>
      </c>
    </row>
    <row r="129" spans="1:13">
      <c r="A129" t="s">
        <v>760</v>
      </c>
      <c r="B129" t="s">
        <v>170</v>
      </c>
      <c r="C129" s="1">
        <v>45331</v>
      </c>
      <c r="D129" t="s">
        <v>34</v>
      </c>
      <c r="E129" t="s">
        <v>35</v>
      </c>
      <c r="F129" t="s">
        <v>36</v>
      </c>
      <c r="G129" t="s">
        <v>37</v>
      </c>
      <c r="H129" t="s">
        <v>38</v>
      </c>
      <c r="I129" t="s">
        <v>39</v>
      </c>
      <c r="J129" s="91">
        <v>840.255</v>
      </c>
      <c r="K129" s="91">
        <v>0.433</v>
      </c>
      <c r="L129" t="s">
        <v>713</v>
      </c>
      <c r="M129" t="s">
        <v>612</v>
      </c>
    </row>
    <row r="130" spans="1:13">
      <c r="A130" t="s">
        <v>761</v>
      </c>
      <c r="B130" t="s">
        <v>191</v>
      </c>
      <c r="C130" s="1">
        <v>45329</v>
      </c>
      <c r="D130" t="s">
        <v>117</v>
      </c>
      <c r="E130" t="s">
        <v>118</v>
      </c>
      <c r="F130" t="s">
        <v>119</v>
      </c>
      <c r="G130" t="s">
        <v>120</v>
      </c>
      <c r="H130" t="s">
        <v>121</v>
      </c>
      <c r="I130" t="s">
        <v>122</v>
      </c>
      <c r="J130" s="91">
        <v>13693954.775</v>
      </c>
      <c r="K130" s="91">
        <v>10139.674000000001</v>
      </c>
      <c r="L130" t="s">
        <v>705</v>
      </c>
      <c r="M130" t="s">
        <v>612</v>
      </c>
    </row>
    <row r="131" spans="1:13">
      <c r="A131" t="s">
        <v>762</v>
      </c>
      <c r="B131" t="s">
        <v>204</v>
      </c>
      <c r="C131" s="1">
        <v>45328</v>
      </c>
      <c r="D131" t="s">
        <v>68</v>
      </c>
      <c r="E131" t="s">
        <v>69</v>
      </c>
      <c r="F131" t="s">
        <v>43</v>
      </c>
      <c r="G131" t="s">
        <v>37</v>
      </c>
      <c r="H131" t="s">
        <v>70</v>
      </c>
      <c r="I131" t="s">
        <v>71</v>
      </c>
      <c r="J131" s="91">
        <v>172425.16699999999</v>
      </c>
      <c r="K131" s="91">
        <v>162.08699999999999</v>
      </c>
      <c r="L131" t="s">
        <v>724</v>
      </c>
      <c r="M131" t="s">
        <v>612</v>
      </c>
    </row>
    <row r="132" spans="1:13">
      <c r="A132" t="s">
        <v>763</v>
      </c>
      <c r="B132" t="s">
        <v>192</v>
      </c>
      <c r="C132" s="1">
        <v>45335</v>
      </c>
      <c r="D132" t="s">
        <v>124</v>
      </c>
      <c r="E132" t="s">
        <v>125</v>
      </c>
      <c r="F132" t="s">
        <v>119</v>
      </c>
      <c r="G132" t="s">
        <v>126</v>
      </c>
      <c r="H132" t="s">
        <v>121</v>
      </c>
      <c r="I132" t="s">
        <v>122</v>
      </c>
      <c r="J132" s="91">
        <v>7991377.2300000004</v>
      </c>
      <c r="K132" s="91">
        <v>20942.896000000001</v>
      </c>
      <c r="L132" t="s">
        <v>705</v>
      </c>
      <c r="M132" t="s">
        <v>612</v>
      </c>
    </row>
    <row r="133" spans="1:13">
      <c r="A133" t="s">
        <v>764</v>
      </c>
      <c r="B133" t="s">
        <v>203</v>
      </c>
      <c r="C133" s="1">
        <v>45335</v>
      </c>
      <c r="D133" t="s">
        <v>63</v>
      </c>
      <c r="E133" t="s">
        <v>64</v>
      </c>
      <c r="F133" t="s">
        <v>49</v>
      </c>
      <c r="G133" t="s">
        <v>56</v>
      </c>
      <c r="H133" t="s">
        <v>65</v>
      </c>
      <c r="I133" t="s">
        <v>66</v>
      </c>
      <c r="J133" s="91">
        <v>3447.212</v>
      </c>
      <c r="K133" s="91">
        <v>0.56599999999999995</v>
      </c>
      <c r="L133" t="s">
        <v>709</v>
      </c>
      <c r="M133" t="s">
        <v>612</v>
      </c>
    </row>
    <row r="134" spans="1:13">
      <c r="A134" t="s">
        <v>765</v>
      </c>
      <c r="B134" t="s">
        <v>198</v>
      </c>
      <c r="C134" s="1">
        <v>45345</v>
      </c>
      <c r="D134" t="s">
        <v>82</v>
      </c>
      <c r="E134" t="s">
        <v>83</v>
      </c>
      <c r="F134" t="s">
        <v>78</v>
      </c>
      <c r="G134" t="s">
        <v>84</v>
      </c>
      <c r="H134" t="s">
        <v>79</v>
      </c>
      <c r="I134" t="s">
        <v>80</v>
      </c>
      <c r="J134" s="91">
        <v>288.07600000000002</v>
      </c>
      <c r="K134" s="91">
        <v>0.755</v>
      </c>
      <c r="L134" t="s">
        <v>707</v>
      </c>
      <c r="M134" t="s">
        <v>612</v>
      </c>
    </row>
    <row r="135" spans="1:13">
      <c r="A135" t="s">
        <v>766</v>
      </c>
      <c r="B135" t="s">
        <v>171</v>
      </c>
      <c r="C135" s="1">
        <v>45348</v>
      </c>
      <c r="D135" t="s">
        <v>47</v>
      </c>
      <c r="E135" t="s">
        <v>48</v>
      </c>
      <c r="F135" t="s">
        <v>49</v>
      </c>
      <c r="G135" t="s">
        <v>50</v>
      </c>
      <c r="H135" t="s">
        <v>51</v>
      </c>
      <c r="I135" t="s">
        <v>52</v>
      </c>
      <c r="J135" s="91">
        <v>146.50700000000001</v>
      </c>
      <c r="K135" s="91">
        <v>0.41099999999999998</v>
      </c>
      <c r="L135" t="s">
        <v>724</v>
      </c>
      <c r="M135" t="s">
        <v>612</v>
      </c>
    </row>
    <row r="136" spans="1:13">
      <c r="A136" t="s">
        <v>767</v>
      </c>
      <c r="B136" t="s">
        <v>189</v>
      </c>
      <c r="C136" s="1">
        <v>45354</v>
      </c>
      <c r="D136" t="s">
        <v>47</v>
      </c>
      <c r="E136" t="s">
        <v>48</v>
      </c>
      <c r="F136" t="s">
        <v>49</v>
      </c>
      <c r="G136" t="s">
        <v>50</v>
      </c>
      <c r="H136" t="s">
        <v>51</v>
      </c>
      <c r="I136" t="s">
        <v>52</v>
      </c>
      <c r="J136" s="91">
        <v>144.12299999999999</v>
      </c>
      <c r="K136" s="91">
        <v>0.17799999999999999</v>
      </c>
      <c r="L136" t="s">
        <v>713</v>
      </c>
      <c r="M136" t="s">
        <v>612</v>
      </c>
    </row>
    <row r="137" spans="1:13">
      <c r="A137" t="s">
        <v>768</v>
      </c>
      <c r="B137" t="s">
        <v>194</v>
      </c>
      <c r="C137" s="1">
        <v>45350</v>
      </c>
      <c r="D137" t="s">
        <v>134</v>
      </c>
      <c r="E137" t="s">
        <v>135</v>
      </c>
      <c r="F137" t="s">
        <v>136</v>
      </c>
      <c r="G137" t="s">
        <v>101</v>
      </c>
      <c r="H137" t="s">
        <v>137</v>
      </c>
      <c r="I137" t="s">
        <v>138</v>
      </c>
      <c r="J137" s="91">
        <v>75713.081999999995</v>
      </c>
      <c r="K137" s="91">
        <v>4.8369999999999997</v>
      </c>
      <c r="L137" t="s">
        <v>724</v>
      </c>
      <c r="M137" t="s">
        <v>612</v>
      </c>
    </row>
    <row r="138" spans="1:13">
      <c r="A138" t="s">
        <v>769</v>
      </c>
      <c r="B138" t="s">
        <v>200</v>
      </c>
      <c r="C138" s="1">
        <v>45353</v>
      </c>
      <c r="D138" t="s">
        <v>26</v>
      </c>
      <c r="E138" t="s">
        <v>27</v>
      </c>
      <c r="F138" t="s">
        <v>28</v>
      </c>
      <c r="G138" t="s">
        <v>29</v>
      </c>
      <c r="H138" t="s">
        <v>30</v>
      </c>
      <c r="I138" t="s">
        <v>31</v>
      </c>
      <c r="J138" s="91">
        <v>28739.251</v>
      </c>
      <c r="K138" s="91">
        <v>6.4420000000000002</v>
      </c>
      <c r="L138" t="s">
        <v>705</v>
      </c>
      <c r="M138" t="s">
        <v>612</v>
      </c>
    </row>
    <row r="139" spans="1:13">
      <c r="A139" t="s">
        <v>770</v>
      </c>
      <c r="B139" t="s">
        <v>201</v>
      </c>
      <c r="C139" s="1">
        <v>45352</v>
      </c>
      <c r="D139" t="s">
        <v>54</v>
      </c>
      <c r="E139" t="s">
        <v>55</v>
      </c>
      <c r="F139" t="s">
        <v>49</v>
      </c>
      <c r="G139" t="s">
        <v>56</v>
      </c>
      <c r="H139" t="s">
        <v>57</v>
      </c>
      <c r="I139" t="s">
        <v>58</v>
      </c>
      <c r="J139" s="91">
        <v>25861.449000000001</v>
      </c>
      <c r="K139" s="91">
        <v>7.0910000000000002</v>
      </c>
      <c r="L139" t="s">
        <v>724</v>
      </c>
      <c r="M139" t="s">
        <v>612</v>
      </c>
    </row>
    <row r="140" spans="1:13">
      <c r="A140" t="s">
        <v>771</v>
      </c>
      <c r="B140" t="s">
        <v>205</v>
      </c>
      <c r="C140" s="1">
        <v>45354</v>
      </c>
      <c r="D140" t="s">
        <v>76</v>
      </c>
      <c r="E140" t="s">
        <v>77</v>
      </c>
      <c r="F140" t="s">
        <v>78</v>
      </c>
      <c r="G140" t="s">
        <v>37</v>
      </c>
      <c r="H140" t="s">
        <v>79</v>
      </c>
      <c r="I140" t="s">
        <v>80</v>
      </c>
      <c r="J140" s="91">
        <v>17245.613000000001</v>
      </c>
      <c r="K140" s="91">
        <v>4.0910000000000002</v>
      </c>
      <c r="L140" t="s">
        <v>713</v>
      </c>
      <c r="M140" t="s">
        <v>612</v>
      </c>
    </row>
    <row r="141" spans="1:13">
      <c r="A141" t="s">
        <v>772</v>
      </c>
      <c r="B141" t="s">
        <v>212</v>
      </c>
      <c r="C141" s="1">
        <v>45353</v>
      </c>
      <c r="D141" t="s">
        <v>47</v>
      </c>
      <c r="E141" t="s">
        <v>48</v>
      </c>
      <c r="F141" t="s">
        <v>49</v>
      </c>
      <c r="G141" t="s">
        <v>50</v>
      </c>
      <c r="H141" t="s">
        <v>51</v>
      </c>
      <c r="I141" t="s">
        <v>52</v>
      </c>
      <c r="J141" s="91">
        <v>172.35</v>
      </c>
      <c r="K141" s="91">
        <v>0.28100000000000003</v>
      </c>
      <c r="L141" t="s">
        <v>707</v>
      </c>
      <c r="M141" t="s">
        <v>612</v>
      </c>
    </row>
    <row r="142" spans="1:13">
      <c r="A142" t="s">
        <v>773</v>
      </c>
      <c r="B142" t="s">
        <v>217</v>
      </c>
      <c r="C142" s="1">
        <v>45353</v>
      </c>
      <c r="D142" t="s">
        <v>140</v>
      </c>
      <c r="E142" t="s">
        <v>141</v>
      </c>
      <c r="F142" t="s">
        <v>142</v>
      </c>
      <c r="G142" t="s">
        <v>84</v>
      </c>
      <c r="H142" t="s">
        <v>143</v>
      </c>
      <c r="I142" t="s">
        <v>144</v>
      </c>
      <c r="J142" s="91">
        <v>26096250.548</v>
      </c>
      <c r="K142" s="91">
        <v>19072.757000000001</v>
      </c>
      <c r="L142" t="s">
        <v>724</v>
      </c>
      <c r="M142" t="s">
        <v>612</v>
      </c>
    </row>
    <row r="143" spans="1:13">
      <c r="A143" t="s">
        <v>774</v>
      </c>
      <c r="B143" t="s">
        <v>211</v>
      </c>
      <c r="C143" s="1">
        <v>45355</v>
      </c>
      <c r="D143" t="s">
        <v>41</v>
      </c>
      <c r="E143" t="s">
        <v>42</v>
      </c>
      <c r="F143" t="s">
        <v>43</v>
      </c>
      <c r="G143" t="s">
        <v>37</v>
      </c>
      <c r="H143" t="s">
        <v>44</v>
      </c>
      <c r="I143" t="s">
        <v>45</v>
      </c>
      <c r="J143" s="91">
        <v>51713.082999999999</v>
      </c>
      <c r="K143" s="91">
        <v>16.754000000000001</v>
      </c>
      <c r="L143" t="s">
        <v>707</v>
      </c>
      <c r="M143" t="s">
        <v>612</v>
      </c>
    </row>
    <row r="144" spans="1:13">
      <c r="A144" t="s">
        <v>775</v>
      </c>
      <c r="B144" t="s">
        <v>174</v>
      </c>
      <c r="C144" s="1">
        <v>45364</v>
      </c>
      <c r="D144" t="s">
        <v>111</v>
      </c>
      <c r="E144" t="s">
        <v>112</v>
      </c>
      <c r="F144" t="s">
        <v>113</v>
      </c>
      <c r="G144" t="s">
        <v>84</v>
      </c>
      <c r="H144" t="s">
        <v>114</v>
      </c>
      <c r="I144" t="s">
        <v>115</v>
      </c>
      <c r="J144" s="91">
        <v>22983867.686999999</v>
      </c>
      <c r="K144" s="91">
        <v>170811.42199999999</v>
      </c>
      <c r="L144" t="s">
        <v>709</v>
      </c>
      <c r="M144" t="s">
        <v>612</v>
      </c>
    </row>
    <row r="145" spans="1:13">
      <c r="A145" t="s">
        <v>776</v>
      </c>
      <c r="B145" t="s">
        <v>190</v>
      </c>
      <c r="C145" s="1">
        <v>45368</v>
      </c>
      <c r="D145" t="s">
        <v>111</v>
      </c>
      <c r="E145" t="s">
        <v>112</v>
      </c>
      <c r="F145" t="s">
        <v>113</v>
      </c>
      <c r="G145" t="s">
        <v>84</v>
      </c>
      <c r="H145" t="s">
        <v>114</v>
      </c>
      <c r="I145" t="s">
        <v>115</v>
      </c>
      <c r="J145" s="91">
        <v>22809894.629000001</v>
      </c>
      <c r="K145" s="91">
        <v>3378.0729999999999</v>
      </c>
      <c r="L145" t="s">
        <v>709</v>
      </c>
      <c r="M145" t="s">
        <v>612</v>
      </c>
    </row>
    <row r="146" spans="1:13">
      <c r="A146" t="s">
        <v>777</v>
      </c>
      <c r="B146" t="s">
        <v>219</v>
      </c>
      <c r="C146" s="1">
        <v>45367</v>
      </c>
      <c r="D146" t="s">
        <v>73</v>
      </c>
      <c r="E146" t="s">
        <v>74</v>
      </c>
      <c r="F146" t="s">
        <v>43</v>
      </c>
      <c r="G146" t="s">
        <v>37</v>
      </c>
      <c r="H146" t="s">
        <v>70</v>
      </c>
      <c r="I146" t="s">
        <v>71</v>
      </c>
      <c r="J146" s="91">
        <v>50032.862999999998</v>
      </c>
      <c r="K146" s="91">
        <v>154.93700000000001</v>
      </c>
      <c r="L146" t="s">
        <v>705</v>
      </c>
      <c r="M146" t="s">
        <v>612</v>
      </c>
    </row>
    <row r="147" spans="1:13">
      <c r="A147" t="s">
        <v>778</v>
      </c>
      <c r="B147" t="s">
        <v>225</v>
      </c>
      <c r="C147" s="1">
        <v>45368</v>
      </c>
      <c r="D147" t="s">
        <v>68</v>
      </c>
      <c r="E147" t="s">
        <v>69</v>
      </c>
      <c r="F147" t="s">
        <v>43</v>
      </c>
      <c r="G147" t="s">
        <v>37</v>
      </c>
      <c r="H147" t="s">
        <v>44</v>
      </c>
      <c r="I147" t="s">
        <v>45</v>
      </c>
      <c r="J147" s="91">
        <v>155562.087</v>
      </c>
      <c r="K147" s="91">
        <v>12.009</v>
      </c>
      <c r="L147" t="s">
        <v>709</v>
      </c>
      <c r="M147" t="s">
        <v>612</v>
      </c>
    </row>
    <row r="148" spans="1:13">
      <c r="A148" t="s">
        <v>779</v>
      </c>
      <c r="B148" t="s">
        <v>196</v>
      </c>
      <c r="C148" s="1">
        <v>45372</v>
      </c>
      <c r="D148" t="s">
        <v>34</v>
      </c>
      <c r="E148" t="s">
        <v>35</v>
      </c>
      <c r="F148" t="s">
        <v>36</v>
      </c>
      <c r="G148" t="s">
        <v>37</v>
      </c>
      <c r="H148" t="s">
        <v>38</v>
      </c>
      <c r="I148" t="s">
        <v>39</v>
      </c>
      <c r="J148" s="91">
        <v>1007.261</v>
      </c>
      <c r="K148" s="91">
        <v>4.3239999999999998</v>
      </c>
      <c r="L148" t="s">
        <v>707</v>
      </c>
      <c r="M148" t="s">
        <v>612</v>
      </c>
    </row>
    <row r="149" spans="1:13">
      <c r="A149" t="s">
        <v>780</v>
      </c>
      <c r="B149" t="s">
        <v>199</v>
      </c>
      <c r="C149" s="1">
        <v>45371</v>
      </c>
      <c r="D149" t="s">
        <v>92</v>
      </c>
      <c r="E149" t="s">
        <v>93</v>
      </c>
      <c r="F149" t="s">
        <v>94</v>
      </c>
      <c r="G149" t="s">
        <v>56</v>
      </c>
      <c r="H149" t="s">
        <v>95</v>
      </c>
      <c r="I149" t="s">
        <v>96</v>
      </c>
      <c r="J149" s="91">
        <v>115.042</v>
      </c>
      <c r="K149" s="91">
        <v>0.33100000000000002</v>
      </c>
      <c r="L149" t="s">
        <v>707</v>
      </c>
      <c r="M149" t="s">
        <v>612</v>
      </c>
    </row>
    <row r="150" spans="1:13">
      <c r="A150" t="s">
        <v>781</v>
      </c>
      <c r="B150" t="s">
        <v>215</v>
      </c>
      <c r="C150" s="1">
        <v>45370</v>
      </c>
      <c r="D150" t="s">
        <v>117</v>
      </c>
      <c r="E150" t="s">
        <v>118</v>
      </c>
      <c r="F150" t="s">
        <v>119</v>
      </c>
      <c r="G150" t="s">
        <v>120</v>
      </c>
      <c r="H150" t="s">
        <v>121</v>
      </c>
      <c r="I150" t="s">
        <v>122</v>
      </c>
      <c r="J150" s="91">
        <v>15618409.392000001</v>
      </c>
      <c r="K150" s="91">
        <v>31742.435000000001</v>
      </c>
      <c r="L150" t="s">
        <v>724</v>
      </c>
      <c r="M150" t="s">
        <v>612</v>
      </c>
    </row>
    <row r="151" spans="1:13">
      <c r="A151" t="s">
        <v>782</v>
      </c>
      <c r="B151" t="s">
        <v>216</v>
      </c>
      <c r="C151" s="1">
        <v>45371</v>
      </c>
      <c r="D151" t="s">
        <v>124</v>
      </c>
      <c r="E151" t="s">
        <v>125</v>
      </c>
      <c r="F151" t="s">
        <v>119</v>
      </c>
      <c r="G151" t="s">
        <v>126</v>
      </c>
      <c r="H151" t="s">
        <v>121</v>
      </c>
      <c r="I151" t="s">
        <v>122</v>
      </c>
      <c r="J151" s="91">
        <v>9125766.898</v>
      </c>
      <c r="K151" s="91">
        <v>3320.2750000000001</v>
      </c>
      <c r="L151" t="s">
        <v>707</v>
      </c>
      <c r="M151" t="s">
        <v>612</v>
      </c>
    </row>
    <row r="152" spans="1:13">
      <c r="A152" t="s">
        <v>783</v>
      </c>
      <c r="B152" t="s">
        <v>220</v>
      </c>
      <c r="C152" s="1">
        <v>45375</v>
      </c>
      <c r="D152" t="s">
        <v>82</v>
      </c>
      <c r="E152" t="s">
        <v>83</v>
      </c>
      <c r="F152" t="s">
        <v>78</v>
      </c>
      <c r="G152" t="s">
        <v>84</v>
      </c>
      <c r="H152" t="s">
        <v>79</v>
      </c>
      <c r="I152" t="s">
        <v>80</v>
      </c>
      <c r="J152" s="91">
        <v>310.95499999999998</v>
      </c>
      <c r="K152" s="91">
        <v>0.111</v>
      </c>
      <c r="L152" t="s">
        <v>724</v>
      </c>
      <c r="M152" t="s">
        <v>612</v>
      </c>
    </row>
    <row r="153" spans="1:13">
      <c r="A153" t="s">
        <v>784</v>
      </c>
      <c r="B153" t="s">
        <v>202</v>
      </c>
      <c r="C153" s="1">
        <v>45376</v>
      </c>
      <c r="D153" t="s">
        <v>60</v>
      </c>
      <c r="E153" t="s">
        <v>61</v>
      </c>
      <c r="F153" t="s">
        <v>49</v>
      </c>
      <c r="G153" t="s">
        <v>56</v>
      </c>
      <c r="H153" t="s">
        <v>57</v>
      </c>
      <c r="I153" t="s">
        <v>58</v>
      </c>
      <c r="J153" s="91">
        <v>2303.279</v>
      </c>
      <c r="K153" s="91">
        <v>0.86599999999999999</v>
      </c>
      <c r="L153" t="s">
        <v>713</v>
      </c>
      <c r="M153" t="s">
        <v>612</v>
      </c>
    </row>
    <row r="154" spans="1:13">
      <c r="A154" t="s">
        <v>785</v>
      </c>
      <c r="B154" t="s">
        <v>210</v>
      </c>
      <c r="C154" s="1">
        <v>45382</v>
      </c>
      <c r="D154" t="s">
        <v>134</v>
      </c>
      <c r="E154" t="s">
        <v>135</v>
      </c>
      <c r="F154" t="s">
        <v>136</v>
      </c>
      <c r="G154" t="s">
        <v>101</v>
      </c>
      <c r="H154" t="s">
        <v>137</v>
      </c>
      <c r="I154" t="s">
        <v>138</v>
      </c>
      <c r="J154" s="91">
        <v>65140.311999999998</v>
      </c>
      <c r="K154" s="91">
        <v>12.702999999999999</v>
      </c>
      <c r="L154" t="s">
        <v>707</v>
      </c>
      <c r="M154" t="s">
        <v>612</v>
      </c>
    </row>
    <row r="155" spans="1:13">
      <c r="A155" t="s">
        <v>786</v>
      </c>
      <c r="B155" t="s">
        <v>224</v>
      </c>
      <c r="C155" s="1">
        <v>45379</v>
      </c>
      <c r="D155" t="s">
        <v>63</v>
      </c>
      <c r="E155" t="s">
        <v>64</v>
      </c>
      <c r="F155" t="s">
        <v>49</v>
      </c>
      <c r="G155" t="s">
        <v>56</v>
      </c>
      <c r="H155" t="s">
        <v>65</v>
      </c>
      <c r="I155" t="s">
        <v>66</v>
      </c>
      <c r="J155" s="91">
        <v>3108.5659999999998</v>
      </c>
      <c r="K155" s="91">
        <v>1.68</v>
      </c>
      <c r="L155" t="s">
        <v>709</v>
      </c>
      <c r="M155" t="s">
        <v>612</v>
      </c>
    </row>
    <row r="156" spans="1:13">
      <c r="A156" t="s">
        <v>787</v>
      </c>
      <c r="B156" t="s">
        <v>221</v>
      </c>
      <c r="C156" s="1">
        <v>45389</v>
      </c>
      <c r="D156" t="s">
        <v>26</v>
      </c>
      <c r="E156" t="s">
        <v>27</v>
      </c>
      <c r="F156" t="s">
        <v>28</v>
      </c>
      <c r="G156" t="s">
        <v>29</v>
      </c>
      <c r="H156" t="s">
        <v>149</v>
      </c>
      <c r="I156" t="s">
        <v>150</v>
      </c>
      <c r="J156" s="91">
        <v>25906.441999999999</v>
      </c>
      <c r="K156" s="91">
        <v>14.42</v>
      </c>
      <c r="L156" t="s">
        <v>709</v>
      </c>
      <c r="M156" t="s">
        <v>612</v>
      </c>
    </row>
    <row r="157" spans="1:13">
      <c r="A157" t="s">
        <v>788</v>
      </c>
      <c r="B157" t="s">
        <v>226</v>
      </c>
      <c r="C157" s="1">
        <v>45386</v>
      </c>
      <c r="D157" t="s">
        <v>76</v>
      </c>
      <c r="E157" t="s">
        <v>77</v>
      </c>
      <c r="F157" t="s">
        <v>78</v>
      </c>
      <c r="G157" t="s">
        <v>37</v>
      </c>
      <c r="H157" t="s">
        <v>79</v>
      </c>
      <c r="I157" t="s">
        <v>80</v>
      </c>
      <c r="J157" s="91">
        <v>15544.091</v>
      </c>
      <c r="K157" s="91">
        <v>41.786999999999999</v>
      </c>
      <c r="L157" t="s">
        <v>709</v>
      </c>
      <c r="M157" t="s">
        <v>612</v>
      </c>
    </row>
    <row r="158" spans="1:13">
      <c r="A158" t="s">
        <v>789</v>
      </c>
      <c r="B158" t="s">
        <v>235</v>
      </c>
      <c r="C158" s="1">
        <v>45388</v>
      </c>
      <c r="D158" t="s">
        <v>140</v>
      </c>
      <c r="E158" t="s">
        <v>141</v>
      </c>
      <c r="F158" t="s">
        <v>142</v>
      </c>
      <c r="G158" t="s">
        <v>84</v>
      </c>
      <c r="H158" t="s">
        <v>143</v>
      </c>
      <c r="I158" t="s">
        <v>144</v>
      </c>
      <c r="J158" s="91">
        <v>23025214.454999998</v>
      </c>
      <c r="K158" s="91">
        <v>4085.5160000000001</v>
      </c>
      <c r="L158" t="s">
        <v>707</v>
      </c>
      <c r="M158" t="s">
        <v>612</v>
      </c>
    </row>
    <row r="159" spans="1:13">
      <c r="A159" t="s">
        <v>790</v>
      </c>
      <c r="B159" t="s">
        <v>222</v>
      </c>
      <c r="C159" s="1">
        <v>45392</v>
      </c>
      <c r="D159" t="s">
        <v>54</v>
      </c>
      <c r="E159" t="s">
        <v>55</v>
      </c>
      <c r="F159" t="s">
        <v>49</v>
      </c>
      <c r="G159" t="s">
        <v>56</v>
      </c>
      <c r="H159" t="s">
        <v>65</v>
      </c>
      <c r="I159" t="s">
        <v>66</v>
      </c>
      <c r="J159" s="91">
        <v>23317.091</v>
      </c>
      <c r="K159" s="91">
        <v>1.4219999999999999</v>
      </c>
      <c r="L159" t="s">
        <v>705</v>
      </c>
      <c r="M159" t="s">
        <v>612</v>
      </c>
    </row>
    <row r="160" spans="1:13">
      <c r="A160" t="s">
        <v>791</v>
      </c>
      <c r="B160" t="s">
        <v>231</v>
      </c>
      <c r="C160" s="1">
        <v>45394</v>
      </c>
      <c r="D160" t="s">
        <v>73</v>
      </c>
      <c r="E160" t="s">
        <v>74</v>
      </c>
      <c r="F160" t="s">
        <v>43</v>
      </c>
      <c r="G160" t="s">
        <v>37</v>
      </c>
      <c r="H160" t="s">
        <v>70</v>
      </c>
      <c r="I160" t="s">
        <v>71</v>
      </c>
      <c r="J160" s="91">
        <v>62707.203000000001</v>
      </c>
      <c r="K160" s="91">
        <v>2.6</v>
      </c>
      <c r="L160" t="s">
        <v>713</v>
      </c>
      <c r="M160" t="s">
        <v>612</v>
      </c>
    </row>
    <row r="161" spans="1:13">
      <c r="A161" t="s">
        <v>792</v>
      </c>
      <c r="B161" t="s">
        <v>209</v>
      </c>
      <c r="C161" s="1">
        <v>45402</v>
      </c>
      <c r="D161" t="s">
        <v>92</v>
      </c>
      <c r="E161" t="s">
        <v>93</v>
      </c>
      <c r="F161" t="s">
        <v>94</v>
      </c>
      <c r="G161" t="s">
        <v>56</v>
      </c>
      <c r="H161" t="s">
        <v>95</v>
      </c>
      <c r="I161" t="s">
        <v>96</v>
      </c>
      <c r="J161" s="91">
        <v>97.932000000000002</v>
      </c>
      <c r="K161" s="91">
        <v>0.17199999999999999</v>
      </c>
      <c r="L161" t="s">
        <v>705</v>
      </c>
      <c r="M161" t="s">
        <v>612</v>
      </c>
    </row>
    <row r="162" spans="1:13">
      <c r="A162" t="s">
        <v>793</v>
      </c>
      <c r="B162" t="s">
        <v>223</v>
      </c>
      <c r="C162" s="1">
        <v>45400</v>
      </c>
      <c r="D162" t="s">
        <v>60</v>
      </c>
      <c r="E162" t="s">
        <v>61</v>
      </c>
      <c r="F162" t="s">
        <v>49</v>
      </c>
      <c r="G162" t="s">
        <v>56</v>
      </c>
      <c r="H162" t="s">
        <v>57</v>
      </c>
      <c r="I162" t="s">
        <v>58</v>
      </c>
      <c r="J162" s="91">
        <v>2072</v>
      </c>
      <c r="K162" s="91">
        <v>0.20200000000000001</v>
      </c>
      <c r="L162" t="s">
        <v>705</v>
      </c>
      <c r="M162" t="s">
        <v>612</v>
      </c>
    </row>
    <row r="163" spans="1:13">
      <c r="A163" t="s">
        <v>794</v>
      </c>
      <c r="B163" t="s">
        <v>234</v>
      </c>
      <c r="C163" s="1">
        <v>45404</v>
      </c>
      <c r="D163" t="s">
        <v>124</v>
      </c>
      <c r="E163" t="s">
        <v>125</v>
      </c>
      <c r="F163" t="s">
        <v>119</v>
      </c>
      <c r="G163" t="s">
        <v>126</v>
      </c>
      <c r="H163" t="s">
        <v>121</v>
      </c>
      <c r="I163" t="s">
        <v>122</v>
      </c>
      <c r="J163" s="91">
        <v>8031134.9280000003</v>
      </c>
      <c r="K163" s="91">
        <v>6881.1570000000002</v>
      </c>
      <c r="L163" t="s">
        <v>705</v>
      </c>
      <c r="M163" t="s">
        <v>612</v>
      </c>
    </row>
    <row r="164" spans="1:13">
      <c r="A164" t="s">
        <v>795</v>
      </c>
      <c r="B164" t="s">
        <v>214</v>
      </c>
      <c r="C164" s="1">
        <v>45411</v>
      </c>
      <c r="D164" t="s">
        <v>111</v>
      </c>
      <c r="E164" t="s">
        <v>112</v>
      </c>
      <c r="F164" t="s">
        <v>113</v>
      </c>
      <c r="G164" t="s">
        <v>84</v>
      </c>
      <c r="H164" t="s">
        <v>114</v>
      </c>
      <c r="I164" t="s">
        <v>115</v>
      </c>
      <c r="J164" s="91">
        <v>26185105.287999999</v>
      </c>
      <c r="K164" s="91">
        <v>88551.395999999993</v>
      </c>
      <c r="L164" t="s">
        <v>705</v>
      </c>
      <c r="M164" t="s">
        <v>612</v>
      </c>
    </row>
    <row r="165" spans="1:13">
      <c r="A165" t="s">
        <v>796</v>
      </c>
      <c r="B165" t="s">
        <v>218</v>
      </c>
      <c r="C165" s="1">
        <v>45417</v>
      </c>
      <c r="D165" t="s">
        <v>34</v>
      </c>
      <c r="E165" t="s">
        <v>35</v>
      </c>
      <c r="F165" t="s">
        <v>36</v>
      </c>
      <c r="G165" t="s">
        <v>37</v>
      </c>
      <c r="H165" t="s">
        <v>38</v>
      </c>
      <c r="I165" t="s">
        <v>39</v>
      </c>
      <c r="J165" s="91">
        <v>905.18299999999999</v>
      </c>
      <c r="K165" s="91">
        <v>0.65600000000000003</v>
      </c>
      <c r="L165" t="s">
        <v>705</v>
      </c>
      <c r="M165" t="s">
        <v>612</v>
      </c>
    </row>
    <row r="166" spans="1:13">
      <c r="A166" t="s">
        <v>797</v>
      </c>
      <c r="B166" t="s">
        <v>233</v>
      </c>
      <c r="C166" s="1">
        <v>45412</v>
      </c>
      <c r="D166" t="s">
        <v>117</v>
      </c>
      <c r="E166" t="s">
        <v>118</v>
      </c>
      <c r="F166" t="s">
        <v>119</v>
      </c>
      <c r="G166" t="s">
        <v>120</v>
      </c>
      <c r="H166" t="s">
        <v>121</v>
      </c>
      <c r="I166" t="s">
        <v>122</v>
      </c>
      <c r="J166" s="91">
        <v>13793710.411</v>
      </c>
      <c r="K166" s="91">
        <v>9627.3829999999998</v>
      </c>
      <c r="L166" t="s">
        <v>724</v>
      </c>
      <c r="M166" t="s">
        <v>612</v>
      </c>
    </row>
    <row r="167" spans="1:13">
      <c r="A167" t="s">
        <v>798</v>
      </c>
      <c r="B167" t="s">
        <v>237</v>
      </c>
      <c r="C167" s="1">
        <v>45411</v>
      </c>
      <c r="D167" t="s">
        <v>41</v>
      </c>
      <c r="E167" t="s">
        <v>42</v>
      </c>
      <c r="F167" t="s">
        <v>43</v>
      </c>
      <c r="G167" t="s">
        <v>37</v>
      </c>
      <c r="H167" t="s">
        <v>70</v>
      </c>
      <c r="I167" t="s">
        <v>71</v>
      </c>
      <c r="J167" s="91">
        <v>46591.754000000001</v>
      </c>
      <c r="K167" s="91">
        <v>65.111000000000004</v>
      </c>
      <c r="L167" t="s">
        <v>709</v>
      </c>
      <c r="M167" t="s">
        <v>612</v>
      </c>
    </row>
    <row r="168" spans="1:13">
      <c r="A168" t="s">
        <v>799</v>
      </c>
      <c r="B168" t="s">
        <v>247</v>
      </c>
      <c r="C168" s="1">
        <v>45413</v>
      </c>
      <c r="D168" t="s">
        <v>68</v>
      </c>
      <c r="E168" t="s">
        <v>69</v>
      </c>
      <c r="F168" t="s">
        <v>43</v>
      </c>
      <c r="G168" t="s">
        <v>37</v>
      </c>
      <c r="H168" t="s">
        <v>70</v>
      </c>
      <c r="I168" t="s">
        <v>71</v>
      </c>
      <c r="J168" s="91">
        <v>172512.00899999999</v>
      </c>
      <c r="K168" s="91">
        <v>346.75200000000001</v>
      </c>
      <c r="L168" t="s">
        <v>705</v>
      </c>
      <c r="M168" t="s">
        <v>612</v>
      </c>
    </row>
    <row r="169" spans="1:13">
      <c r="A169" t="s">
        <v>800</v>
      </c>
      <c r="B169" t="s">
        <v>241</v>
      </c>
      <c r="C169" s="1">
        <v>45420</v>
      </c>
      <c r="D169" t="s">
        <v>76</v>
      </c>
      <c r="E169" t="s">
        <v>77</v>
      </c>
      <c r="F169" t="s">
        <v>78</v>
      </c>
      <c r="G169" t="s">
        <v>37</v>
      </c>
      <c r="H169" t="s">
        <v>79</v>
      </c>
      <c r="I169" t="s">
        <v>80</v>
      </c>
      <c r="J169" s="91">
        <v>14411.787</v>
      </c>
      <c r="K169" s="91">
        <v>2.86</v>
      </c>
      <c r="L169" t="s">
        <v>707</v>
      </c>
      <c r="M169" t="s">
        <v>612</v>
      </c>
    </row>
    <row r="170" spans="1:13">
      <c r="A170" t="s">
        <v>801</v>
      </c>
      <c r="B170" t="s">
        <v>242</v>
      </c>
      <c r="C170" s="1">
        <v>45418</v>
      </c>
      <c r="D170" t="s">
        <v>82</v>
      </c>
      <c r="E170" t="s">
        <v>83</v>
      </c>
      <c r="F170" t="s">
        <v>78</v>
      </c>
      <c r="G170" t="s">
        <v>84</v>
      </c>
      <c r="H170" t="s">
        <v>79</v>
      </c>
      <c r="I170" t="s">
        <v>80</v>
      </c>
      <c r="J170" s="91">
        <v>345.11099999999999</v>
      </c>
      <c r="K170" s="91">
        <v>0.46899999999999997</v>
      </c>
      <c r="L170" t="s">
        <v>709</v>
      </c>
      <c r="M170" t="s">
        <v>612</v>
      </c>
    </row>
    <row r="171" spans="1:13">
      <c r="A171" t="s">
        <v>802</v>
      </c>
      <c r="B171" t="s">
        <v>246</v>
      </c>
      <c r="C171" s="1">
        <v>45422</v>
      </c>
      <c r="D171" t="s">
        <v>63</v>
      </c>
      <c r="E171" t="s">
        <v>64</v>
      </c>
      <c r="F171" t="s">
        <v>49</v>
      </c>
      <c r="G171" t="s">
        <v>56</v>
      </c>
      <c r="H171" t="s">
        <v>65</v>
      </c>
      <c r="I171" t="s">
        <v>66</v>
      </c>
      <c r="J171" s="91">
        <v>2877.1480000000001</v>
      </c>
      <c r="K171" s="91">
        <v>0.24</v>
      </c>
      <c r="L171" t="s">
        <v>707</v>
      </c>
      <c r="M171" t="s">
        <v>612</v>
      </c>
    </row>
    <row r="172" spans="1:13">
      <c r="A172" t="s">
        <v>803</v>
      </c>
      <c r="B172" t="s">
        <v>255</v>
      </c>
      <c r="C172" s="1">
        <v>45422</v>
      </c>
      <c r="D172" t="s">
        <v>140</v>
      </c>
      <c r="E172" t="s">
        <v>141</v>
      </c>
      <c r="F172" t="s">
        <v>142</v>
      </c>
      <c r="G172" t="s">
        <v>84</v>
      </c>
      <c r="H172" t="s">
        <v>143</v>
      </c>
      <c r="I172" t="s">
        <v>144</v>
      </c>
      <c r="J172" s="91">
        <v>23223426.802999999</v>
      </c>
      <c r="K172" s="91">
        <v>6560.5129999999999</v>
      </c>
      <c r="L172" t="s">
        <v>707</v>
      </c>
      <c r="M172" t="s">
        <v>612</v>
      </c>
    </row>
    <row r="173" spans="1:13">
      <c r="A173" t="s">
        <v>804</v>
      </c>
      <c r="B173" t="s">
        <v>251</v>
      </c>
      <c r="C173" s="1">
        <v>45426</v>
      </c>
      <c r="D173" t="s">
        <v>73</v>
      </c>
      <c r="E173" t="s">
        <v>74</v>
      </c>
      <c r="F173" t="s">
        <v>43</v>
      </c>
      <c r="G173" t="s">
        <v>37</v>
      </c>
      <c r="H173" t="s">
        <v>70</v>
      </c>
      <c r="I173" t="s">
        <v>71</v>
      </c>
      <c r="J173" s="91">
        <v>60002.6</v>
      </c>
      <c r="K173" s="91">
        <v>43.405999999999999</v>
      </c>
      <c r="L173" t="s">
        <v>705</v>
      </c>
      <c r="M173" t="s">
        <v>612</v>
      </c>
    </row>
    <row r="174" spans="1:13">
      <c r="A174" t="s">
        <v>805</v>
      </c>
      <c r="B174" t="s">
        <v>230</v>
      </c>
      <c r="C174" s="1">
        <v>45432</v>
      </c>
      <c r="D174" t="s">
        <v>134</v>
      </c>
      <c r="E174" t="s">
        <v>135</v>
      </c>
      <c r="F174" t="s">
        <v>136</v>
      </c>
      <c r="G174" t="s">
        <v>101</v>
      </c>
      <c r="H174" t="s">
        <v>137</v>
      </c>
      <c r="I174" t="s">
        <v>138</v>
      </c>
      <c r="J174" s="91">
        <v>70446.267999999996</v>
      </c>
      <c r="K174" s="91">
        <v>16.425999999999998</v>
      </c>
      <c r="L174" t="s">
        <v>705</v>
      </c>
      <c r="M174" t="s">
        <v>612</v>
      </c>
    </row>
    <row r="175" spans="1:13">
      <c r="A175" t="s">
        <v>806</v>
      </c>
      <c r="B175" t="s">
        <v>232</v>
      </c>
      <c r="C175" s="1">
        <v>45438</v>
      </c>
      <c r="D175" t="s">
        <v>92</v>
      </c>
      <c r="E175" t="s">
        <v>93</v>
      </c>
      <c r="F175" t="s">
        <v>94</v>
      </c>
      <c r="G175" t="s">
        <v>56</v>
      </c>
      <c r="H175" t="s">
        <v>95</v>
      </c>
      <c r="I175" t="s">
        <v>96</v>
      </c>
      <c r="J175" s="91">
        <v>103.73099999999999</v>
      </c>
      <c r="K175" s="91">
        <v>5.6000000000000001E-2</v>
      </c>
      <c r="L175" t="s">
        <v>709</v>
      </c>
      <c r="M175" t="s">
        <v>612</v>
      </c>
    </row>
    <row r="176" spans="1:13">
      <c r="A176" t="s">
        <v>807</v>
      </c>
      <c r="B176" t="s">
        <v>238</v>
      </c>
      <c r="C176" s="1">
        <v>45433</v>
      </c>
      <c r="D176" t="s">
        <v>47</v>
      </c>
      <c r="E176" t="s">
        <v>48</v>
      </c>
      <c r="F176" t="s">
        <v>49</v>
      </c>
      <c r="G176" t="s">
        <v>50</v>
      </c>
      <c r="H176" t="s">
        <v>51</v>
      </c>
      <c r="I176" t="s">
        <v>52</v>
      </c>
      <c r="J176" s="91">
        <v>156.12</v>
      </c>
      <c r="K176" s="91">
        <v>0.57499999999999996</v>
      </c>
      <c r="L176" t="s">
        <v>724</v>
      </c>
      <c r="M176" t="s">
        <v>612</v>
      </c>
    </row>
    <row r="177" spans="1:13">
      <c r="A177" t="s">
        <v>808</v>
      </c>
      <c r="B177" t="s">
        <v>244</v>
      </c>
      <c r="C177" s="1">
        <v>45434</v>
      </c>
      <c r="D177" t="s">
        <v>54</v>
      </c>
      <c r="E177" t="s">
        <v>55</v>
      </c>
      <c r="F177" t="s">
        <v>49</v>
      </c>
      <c r="G177" t="s">
        <v>56</v>
      </c>
      <c r="H177" t="s">
        <v>57</v>
      </c>
      <c r="I177" t="s">
        <v>58</v>
      </c>
      <c r="J177" s="91">
        <v>25876.421999999999</v>
      </c>
      <c r="K177" s="91">
        <v>33.783999999999999</v>
      </c>
      <c r="L177" t="s">
        <v>713</v>
      </c>
      <c r="M177" t="s">
        <v>612</v>
      </c>
    </row>
    <row r="178" spans="1:13">
      <c r="A178" t="s">
        <v>809</v>
      </c>
      <c r="B178" t="s">
        <v>257</v>
      </c>
      <c r="C178" s="1">
        <v>45432</v>
      </c>
      <c r="D178" t="s">
        <v>41</v>
      </c>
      <c r="E178" t="s">
        <v>42</v>
      </c>
      <c r="F178" t="s">
        <v>43</v>
      </c>
      <c r="G178" t="s">
        <v>37</v>
      </c>
      <c r="H178" t="s">
        <v>44</v>
      </c>
      <c r="I178" t="s">
        <v>45</v>
      </c>
      <c r="J178" s="91">
        <v>43265.110999999997</v>
      </c>
      <c r="K178" s="91">
        <v>2.3279999999999998</v>
      </c>
      <c r="L178" t="s">
        <v>707</v>
      </c>
      <c r="M178" t="s">
        <v>612</v>
      </c>
    </row>
    <row r="179" spans="1:13">
      <c r="A179" t="s">
        <v>810</v>
      </c>
      <c r="B179" t="s">
        <v>243</v>
      </c>
      <c r="C179" s="1">
        <v>45441</v>
      </c>
      <c r="D179" t="s">
        <v>26</v>
      </c>
      <c r="E179" t="s">
        <v>27</v>
      </c>
      <c r="F179" t="s">
        <v>28</v>
      </c>
      <c r="G179" t="s">
        <v>29</v>
      </c>
      <c r="H179" t="s">
        <v>149</v>
      </c>
      <c r="I179" t="s">
        <v>150</v>
      </c>
      <c r="J179" s="91">
        <v>28764.42</v>
      </c>
      <c r="K179" s="91">
        <v>9.3140000000000001</v>
      </c>
      <c r="L179" t="s">
        <v>724</v>
      </c>
      <c r="M179" t="s">
        <v>612</v>
      </c>
    </row>
    <row r="180" spans="1:13">
      <c r="A180" t="s">
        <v>811</v>
      </c>
      <c r="B180" t="s">
        <v>245</v>
      </c>
      <c r="C180" s="1">
        <v>45441</v>
      </c>
      <c r="D180" t="s">
        <v>60</v>
      </c>
      <c r="E180" t="s">
        <v>61</v>
      </c>
      <c r="F180" t="s">
        <v>49</v>
      </c>
      <c r="G180" t="s">
        <v>56</v>
      </c>
      <c r="H180" t="s">
        <v>57</v>
      </c>
      <c r="I180" t="s">
        <v>58</v>
      </c>
      <c r="J180" s="91">
        <v>2300.866</v>
      </c>
      <c r="K180" s="91">
        <v>0.85699999999999998</v>
      </c>
      <c r="L180" t="s">
        <v>709</v>
      </c>
      <c r="M180" t="s">
        <v>612</v>
      </c>
    </row>
    <row r="181" spans="1:13">
      <c r="A181" t="s">
        <v>812</v>
      </c>
      <c r="B181" t="s">
        <v>253</v>
      </c>
      <c r="C181" s="1">
        <v>45440</v>
      </c>
      <c r="D181" t="s">
        <v>117</v>
      </c>
      <c r="E181" t="s">
        <v>118</v>
      </c>
      <c r="F181" t="s">
        <v>119</v>
      </c>
      <c r="G181" t="s">
        <v>120</v>
      </c>
      <c r="H181" t="s">
        <v>121</v>
      </c>
      <c r="I181" t="s">
        <v>122</v>
      </c>
      <c r="J181" s="91">
        <v>13891425.560000001</v>
      </c>
      <c r="K181" s="91">
        <v>13370.333000000001</v>
      </c>
      <c r="L181" t="s">
        <v>705</v>
      </c>
      <c r="M181" t="s">
        <v>612</v>
      </c>
    </row>
    <row r="182" spans="1:13">
      <c r="A182" t="s">
        <v>813</v>
      </c>
      <c r="B182" t="s">
        <v>236</v>
      </c>
      <c r="C182" s="1">
        <v>45447</v>
      </c>
      <c r="D182" t="s">
        <v>34</v>
      </c>
      <c r="E182" t="s">
        <v>35</v>
      </c>
      <c r="F182" t="s">
        <v>36</v>
      </c>
      <c r="G182" t="s">
        <v>37</v>
      </c>
      <c r="H182" t="s">
        <v>38</v>
      </c>
      <c r="I182" t="s">
        <v>39</v>
      </c>
      <c r="J182" s="91">
        <v>842.57399999999996</v>
      </c>
      <c r="K182" s="91">
        <v>3.2989999999999999</v>
      </c>
      <c r="L182" t="s">
        <v>707</v>
      </c>
      <c r="M182" t="s">
        <v>612</v>
      </c>
    </row>
    <row r="183" spans="1:13">
      <c r="A183" t="s">
        <v>814</v>
      </c>
      <c r="B183" t="s">
        <v>240</v>
      </c>
      <c r="C183" s="1">
        <v>45447</v>
      </c>
      <c r="D183" t="s">
        <v>111</v>
      </c>
      <c r="E183" t="s">
        <v>112</v>
      </c>
      <c r="F183" t="s">
        <v>113</v>
      </c>
      <c r="G183" t="s">
        <v>84</v>
      </c>
      <c r="H183" t="s">
        <v>114</v>
      </c>
      <c r="I183" t="s">
        <v>115</v>
      </c>
      <c r="J183" s="91">
        <v>25577144.577</v>
      </c>
      <c r="K183" s="91">
        <v>17610.263999999999</v>
      </c>
      <c r="L183" t="s">
        <v>705</v>
      </c>
      <c r="M183" t="s">
        <v>612</v>
      </c>
    </row>
    <row r="184" spans="1:13">
      <c r="A184" t="s">
        <v>815</v>
      </c>
      <c r="B184" t="s">
        <v>267</v>
      </c>
      <c r="C184" s="1">
        <v>45449</v>
      </c>
      <c r="D184" t="s">
        <v>68</v>
      </c>
      <c r="E184" t="s">
        <v>69</v>
      </c>
      <c r="F184" t="s">
        <v>43</v>
      </c>
      <c r="G184" t="s">
        <v>37</v>
      </c>
      <c r="H184" t="s">
        <v>70</v>
      </c>
      <c r="I184" t="s">
        <v>71</v>
      </c>
      <c r="J184" s="91">
        <v>144346.75200000001</v>
      </c>
      <c r="K184" s="91">
        <v>308.66899999999998</v>
      </c>
      <c r="L184" t="s">
        <v>724</v>
      </c>
      <c r="M184" t="s">
        <v>612</v>
      </c>
    </row>
    <row r="185" spans="1:13">
      <c r="A185" t="s">
        <v>816</v>
      </c>
      <c r="B185" t="s">
        <v>250</v>
      </c>
      <c r="C185" s="1">
        <v>45456</v>
      </c>
      <c r="D185" t="s">
        <v>134</v>
      </c>
      <c r="E185" t="s">
        <v>135</v>
      </c>
      <c r="F185" t="s">
        <v>136</v>
      </c>
      <c r="G185" t="s">
        <v>101</v>
      </c>
      <c r="H185" t="s">
        <v>137</v>
      </c>
      <c r="I185" t="s">
        <v>138</v>
      </c>
      <c r="J185" s="91">
        <v>68279.320999999996</v>
      </c>
      <c r="K185" s="91">
        <v>15.013999999999999</v>
      </c>
      <c r="L185" t="s">
        <v>705</v>
      </c>
      <c r="M185" t="s">
        <v>612</v>
      </c>
    </row>
    <row r="186" spans="1:13">
      <c r="A186" t="s">
        <v>817</v>
      </c>
      <c r="B186" t="s">
        <v>254</v>
      </c>
      <c r="C186" s="1">
        <v>45457</v>
      </c>
      <c r="D186" t="s">
        <v>124</v>
      </c>
      <c r="E186" t="s">
        <v>125</v>
      </c>
      <c r="F186" t="s">
        <v>119</v>
      </c>
      <c r="G186" t="s">
        <v>126</v>
      </c>
      <c r="H186" t="s">
        <v>121</v>
      </c>
      <c r="I186" t="s">
        <v>122</v>
      </c>
      <c r="J186" s="91">
        <v>8110212.733</v>
      </c>
      <c r="K186" s="91">
        <v>7305.2820000000002</v>
      </c>
      <c r="L186" t="s">
        <v>713</v>
      </c>
      <c r="M186" t="s">
        <v>612</v>
      </c>
    </row>
    <row r="187" spans="1:13">
      <c r="A187" t="s">
        <v>818</v>
      </c>
      <c r="B187" t="s">
        <v>261</v>
      </c>
      <c r="C187" s="1">
        <v>45456</v>
      </c>
      <c r="D187" t="s">
        <v>76</v>
      </c>
      <c r="E187" t="s">
        <v>77</v>
      </c>
      <c r="F187" t="s">
        <v>78</v>
      </c>
      <c r="G187" t="s">
        <v>37</v>
      </c>
      <c r="H187" t="s">
        <v>79</v>
      </c>
      <c r="I187" t="s">
        <v>80</v>
      </c>
      <c r="J187" s="91">
        <v>14402.86</v>
      </c>
      <c r="K187" s="91">
        <v>23.37</v>
      </c>
      <c r="L187" t="s">
        <v>713</v>
      </c>
      <c r="M187" t="s">
        <v>612</v>
      </c>
    </row>
    <row r="188" spans="1:13">
      <c r="A188" t="s">
        <v>819</v>
      </c>
      <c r="B188" t="s">
        <v>262</v>
      </c>
      <c r="C188" s="1">
        <v>45457</v>
      </c>
      <c r="D188" t="s">
        <v>82</v>
      </c>
      <c r="E188" t="s">
        <v>83</v>
      </c>
      <c r="F188" t="s">
        <v>78</v>
      </c>
      <c r="G188" t="s">
        <v>84</v>
      </c>
      <c r="H188" t="s">
        <v>79</v>
      </c>
      <c r="I188" t="s">
        <v>80</v>
      </c>
      <c r="J188" s="91">
        <v>288.46899999999999</v>
      </c>
      <c r="K188" s="91">
        <v>7.9000000000000001E-2</v>
      </c>
      <c r="L188" t="s">
        <v>724</v>
      </c>
      <c r="M188" t="s">
        <v>612</v>
      </c>
    </row>
    <row r="189" spans="1:13">
      <c r="A189" t="s">
        <v>820</v>
      </c>
      <c r="B189" t="s">
        <v>266</v>
      </c>
      <c r="C189" s="1">
        <v>45456</v>
      </c>
      <c r="D189" t="s">
        <v>63</v>
      </c>
      <c r="E189" t="s">
        <v>64</v>
      </c>
      <c r="F189" t="s">
        <v>49</v>
      </c>
      <c r="G189" t="s">
        <v>56</v>
      </c>
      <c r="H189" t="s">
        <v>65</v>
      </c>
      <c r="I189" t="s">
        <v>66</v>
      </c>
      <c r="J189" s="91">
        <v>3454.7719999999999</v>
      </c>
      <c r="K189" s="91">
        <v>2.677</v>
      </c>
      <c r="L189" t="s">
        <v>707</v>
      </c>
      <c r="M189" t="s">
        <v>612</v>
      </c>
    </row>
    <row r="190" spans="1:13">
      <c r="A190" t="s">
        <v>821</v>
      </c>
      <c r="B190" t="s">
        <v>279</v>
      </c>
      <c r="C190" s="1">
        <v>45461</v>
      </c>
      <c r="D190" t="s">
        <v>140</v>
      </c>
      <c r="E190" t="s">
        <v>141</v>
      </c>
      <c r="F190" t="s">
        <v>142</v>
      </c>
      <c r="G190" t="s">
        <v>84</v>
      </c>
      <c r="H190" t="s">
        <v>143</v>
      </c>
      <c r="I190" t="s">
        <v>144</v>
      </c>
      <c r="J190" s="91">
        <v>26181350.603999998</v>
      </c>
      <c r="K190" s="91">
        <v>28636.935000000001</v>
      </c>
      <c r="L190" t="s">
        <v>713</v>
      </c>
      <c r="M190" t="s">
        <v>612</v>
      </c>
    </row>
    <row r="191" spans="1:13">
      <c r="A191" t="s">
        <v>822</v>
      </c>
      <c r="B191" t="s">
        <v>258</v>
      </c>
      <c r="C191" s="1">
        <v>45467</v>
      </c>
      <c r="D191" t="s">
        <v>47</v>
      </c>
      <c r="E191" t="s">
        <v>48</v>
      </c>
      <c r="F191" t="s">
        <v>49</v>
      </c>
      <c r="G191" t="s">
        <v>50</v>
      </c>
      <c r="H191" t="s">
        <v>51</v>
      </c>
      <c r="I191" t="s">
        <v>52</v>
      </c>
      <c r="J191" s="91">
        <v>144</v>
      </c>
      <c r="K191" s="91">
        <v>1.468</v>
      </c>
      <c r="L191" t="s">
        <v>707</v>
      </c>
      <c r="M191" t="s">
        <v>612</v>
      </c>
    </row>
    <row r="192" spans="1:13">
      <c r="A192" t="s">
        <v>823</v>
      </c>
      <c r="B192" t="s">
        <v>263</v>
      </c>
      <c r="C192" s="1">
        <v>45470</v>
      </c>
      <c r="D192" t="s">
        <v>26</v>
      </c>
      <c r="E192" t="s">
        <v>27</v>
      </c>
      <c r="F192" t="s">
        <v>28</v>
      </c>
      <c r="G192" t="s">
        <v>29</v>
      </c>
      <c r="H192" t="s">
        <v>30</v>
      </c>
      <c r="I192" t="s">
        <v>31</v>
      </c>
      <c r="J192" s="91">
        <v>24000</v>
      </c>
      <c r="K192" s="91">
        <v>7.8979999999999997</v>
      </c>
      <c r="L192" t="s">
        <v>705</v>
      </c>
      <c r="M192" t="s">
        <v>612</v>
      </c>
    </row>
    <row r="193" spans="1:13">
      <c r="A193" t="s">
        <v>824</v>
      </c>
      <c r="B193" t="s">
        <v>264</v>
      </c>
      <c r="C193" s="1">
        <v>45472</v>
      </c>
      <c r="D193" t="s">
        <v>54</v>
      </c>
      <c r="E193" t="s">
        <v>55</v>
      </c>
      <c r="F193" t="s">
        <v>49</v>
      </c>
      <c r="G193" t="s">
        <v>56</v>
      </c>
      <c r="H193" t="s">
        <v>57</v>
      </c>
      <c r="I193" t="s">
        <v>58</v>
      </c>
      <c r="J193" s="91">
        <v>19080.276000000002</v>
      </c>
      <c r="K193" s="91">
        <v>10.189</v>
      </c>
      <c r="L193" t="s">
        <v>705</v>
      </c>
      <c r="M193" t="s">
        <v>612</v>
      </c>
    </row>
    <row r="194" spans="1:13">
      <c r="A194" t="s">
        <v>825</v>
      </c>
      <c r="B194" t="s">
        <v>265</v>
      </c>
      <c r="C194" s="1">
        <v>45469</v>
      </c>
      <c r="D194" t="s">
        <v>60</v>
      </c>
      <c r="E194" t="s">
        <v>61</v>
      </c>
      <c r="F194" t="s">
        <v>49</v>
      </c>
      <c r="G194" t="s">
        <v>56</v>
      </c>
      <c r="H194" t="s">
        <v>57</v>
      </c>
      <c r="I194" t="s">
        <v>58</v>
      </c>
      <c r="J194" s="91">
        <v>1920.202</v>
      </c>
      <c r="K194" s="91">
        <v>0.64</v>
      </c>
      <c r="L194" t="s">
        <v>713</v>
      </c>
      <c r="M194" t="s">
        <v>612</v>
      </c>
    </row>
    <row r="195" spans="1:13">
      <c r="A195" t="s">
        <v>826</v>
      </c>
      <c r="B195" t="s">
        <v>272</v>
      </c>
      <c r="C195" s="1">
        <v>45468</v>
      </c>
      <c r="D195" t="s">
        <v>73</v>
      </c>
      <c r="E195" t="s">
        <v>74</v>
      </c>
      <c r="F195" t="s">
        <v>43</v>
      </c>
      <c r="G195" t="s">
        <v>37</v>
      </c>
      <c r="H195" t="s">
        <v>70</v>
      </c>
      <c r="I195" t="s">
        <v>71</v>
      </c>
      <c r="J195" s="91">
        <v>60043.406000000003</v>
      </c>
      <c r="K195" s="91">
        <v>59.942</v>
      </c>
      <c r="L195" t="s">
        <v>705</v>
      </c>
      <c r="M195" t="s">
        <v>612</v>
      </c>
    </row>
    <row r="196" spans="1:13">
      <c r="A196" t="s">
        <v>827</v>
      </c>
      <c r="B196" t="s">
        <v>275</v>
      </c>
      <c r="C196" s="1">
        <v>45468</v>
      </c>
      <c r="D196" t="s">
        <v>41</v>
      </c>
      <c r="E196" t="s">
        <v>42</v>
      </c>
      <c r="F196" t="s">
        <v>43</v>
      </c>
      <c r="G196" t="s">
        <v>37</v>
      </c>
      <c r="H196" t="s">
        <v>44</v>
      </c>
      <c r="I196" t="s">
        <v>45</v>
      </c>
      <c r="J196" s="91">
        <v>43202.328000000001</v>
      </c>
      <c r="K196" s="91">
        <v>15.537000000000001</v>
      </c>
      <c r="L196" t="s">
        <v>705</v>
      </c>
      <c r="M196" t="s">
        <v>612</v>
      </c>
    </row>
    <row r="197" spans="1:13">
      <c r="A197" t="s">
        <v>828</v>
      </c>
      <c r="B197" t="s">
        <v>252</v>
      </c>
      <c r="C197" s="1">
        <v>45476</v>
      </c>
      <c r="D197" t="s">
        <v>92</v>
      </c>
      <c r="E197" t="s">
        <v>93</v>
      </c>
      <c r="F197" t="s">
        <v>94</v>
      </c>
      <c r="G197" t="s">
        <v>56</v>
      </c>
      <c r="H197" t="s">
        <v>95</v>
      </c>
      <c r="I197" t="s">
        <v>96</v>
      </c>
      <c r="J197" s="91">
        <v>96.171999999999997</v>
      </c>
      <c r="K197" s="91">
        <v>5.7000000000000002E-2</v>
      </c>
      <c r="L197" t="s">
        <v>707</v>
      </c>
      <c r="M197" t="s">
        <v>612</v>
      </c>
    </row>
    <row r="198" spans="1:13">
      <c r="A198" t="s">
        <v>829</v>
      </c>
      <c r="B198" t="s">
        <v>260</v>
      </c>
      <c r="C198" s="1">
        <v>45484</v>
      </c>
      <c r="D198" t="s">
        <v>111</v>
      </c>
      <c r="E198" t="s">
        <v>112</v>
      </c>
      <c r="F198" t="s">
        <v>113</v>
      </c>
      <c r="G198" t="s">
        <v>84</v>
      </c>
      <c r="H198" t="s">
        <v>114</v>
      </c>
      <c r="I198" t="s">
        <v>115</v>
      </c>
      <c r="J198" s="91">
        <v>23115557.925999999</v>
      </c>
      <c r="K198" s="91">
        <v>34865.953999999998</v>
      </c>
      <c r="L198" t="s">
        <v>709</v>
      </c>
      <c r="M198" t="s">
        <v>612</v>
      </c>
    </row>
    <row r="199" spans="1:13">
      <c r="A199" t="s">
        <v>830</v>
      </c>
      <c r="B199" t="s">
        <v>277</v>
      </c>
      <c r="C199" s="1">
        <v>45485</v>
      </c>
      <c r="D199" t="s">
        <v>117</v>
      </c>
      <c r="E199" t="s">
        <v>118</v>
      </c>
      <c r="F199" t="s">
        <v>119</v>
      </c>
      <c r="G199" t="s">
        <v>120</v>
      </c>
      <c r="H199" t="s">
        <v>121</v>
      </c>
      <c r="I199" t="s">
        <v>122</v>
      </c>
      <c r="J199" s="91">
        <v>15677301.205</v>
      </c>
      <c r="K199" s="91">
        <v>28103.600999999999</v>
      </c>
      <c r="L199" t="s">
        <v>705</v>
      </c>
      <c r="M199" t="s">
        <v>612</v>
      </c>
    </row>
    <row r="200" spans="1:13">
      <c r="A200" t="s">
        <v>831</v>
      </c>
      <c r="B200" t="s">
        <v>278</v>
      </c>
      <c r="C200" s="1">
        <v>45484</v>
      </c>
      <c r="D200" t="s">
        <v>124</v>
      </c>
      <c r="E200" t="s">
        <v>125</v>
      </c>
      <c r="F200" t="s">
        <v>119</v>
      </c>
      <c r="G200" t="s">
        <v>126</v>
      </c>
      <c r="H200" t="s">
        <v>121</v>
      </c>
      <c r="I200" t="s">
        <v>122</v>
      </c>
      <c r="J200" s="91">
        <v>9131677.0350000001</v>
      </c>
      <c r="K200" s="91">
        <v>12629.453</v>
      </c>
      <c r="L200" t="s">
        <v>709</v>
      </c>
      <c r="M200" t="s">
        <v>612</v>
      </c>
    </row>
    <row r="201" spans="1:13">
      <c r="A201" t="s">
        <v>832</v>
      </c>
      <c r="B201" t="s">
        <v>285</v>
      </c>
      <c r="C201" s="1">
        <v>45485</v>
      </c>
      <c r="D201" t="s">
        <v>68</v>
      </c>
      <c r="E201" t="s">
        <v>69</v>
      </c>
      <c r="F201" t="s">
        <v>43</v>
      </c>
      <c r="G201" t="s">
        <v>37</v>
      </c>
      <c r="H201" t="s">
        <v>44</v>
      </c>
      <c r="I201" t="s">
        <v>45</v>
      </c>
      <c r="J201" s="91">
        <v>144158.66899999999</v>
      </c>
      <c r="K201" s="91">
        <v>25.84</v>
      </c>
      <c r="L201" t="s">
        <v>713</v>
      </c>
      <c r="M201" t="s">
        <v>612</v>
      </c>
    </row>
    <row r="202" spans="1:13">
      <c r="A202" t="s">
        <v>833</v>
      </c>
      <c r="B202" t="s">
        <v>271</v>
      </c>
      <c r="C202" s="1">
        <v>45488</v>
      </c>
      <c r="D202" t="s">
        <v>134</v>
      </c>
      <c r="E202" t="s">
        <v>135</v>
      </c>
      <c r="F202" t="s">
        <v>136</v>
      </c>
      <c r="G202" t="s">
        <v>101</v>
      </c>
      <c r="H202" t="s">
        <v>137</v>
      </c>
      <c r="I202" t="s">
        <v>138</v>
      </c>
      <c r="J202" s="91">
        <v>66769.099000000002</v>
      </c>
      <c r="K202" s="91">
        <v>4.6760000000000002</v>
      </c>
      <c r="L202" t="s">
        <v>713</v>
      </c>
      <c r="M202" t="s">
        <v>612</v>
      </c>
    </row>
    <row r="203" spans="1:13">
      <c r="A203" t="s">
        <v>834</v>
      </c>
      <c r="B203" t="s">
        <v>280</v>
      </c>
      <c r="C203" s="1">
        <v>45489</v>
      </c>
      <c r="D203" t="s">
        <v>76</v>
      </c>
      <c r="E203" t="s">
        <v>77</v>
      </c>
      <c r="F203" t="s">
        <v>78</v>
      </c>
      <c r="G203" t="s">
        <v>37</v>
      </c>
      <c r="H203" t="s">
        <v>79</v>
      </c>
      <c r="I203" t="s">
        <v>80</v>
      </c>
      <c r="J203" s="91">
        <v>14423.37</v>
      </c>
      <c r="K203" s="91">
        <v>36.433999999999997</v>
      </c>
      <c r="L203" t="s">
        <v>707</v>
      </c>
      <c r="M203" t="s">
        <v>612</v>
      </c>
    </row>
    <row r="204" spans="1:13">
      <c r="A204" t="s">
        <v>835</v>
      </c>
      <c r="B204" t="s">
        <v>281</v>
      </c>
      <c r="C204" s="1">
        <v>45490</v>
      </c>
      <c r="D204" t="s">
        <v>82</v>
      </c>
      <c r="E204" t="s">
        <v>83</v>
      </c>
      <c r="F204" t="s">
        <v>78</v>
      </c>
      <c r="G204" t="s">
        <v>84</v>
      </c>
      <c r="H204" t="s">
        <v>79</v>
      </c>
      <c r="I204" t="s">
        <v>80</v>
      </c>
      <c r="J204" s="91">
        <v>288.07900000000001</v>
      </c>
      <c r="K204" s="91">
        <v>4.2000000000000003E-2</v>
      </c>
      <c r="L204" t="s">
        <v>707</v>
      </c>
      <c r="M204" t="s">
        <v>612</v>
      </c>
    </row>
    <row r="205" spans="1:13">
      <c r="A205" t="s">
        <v>836</v>
      </c>
      <c r="B205" t="s">
        <v>256</v>
      </c>
      <c r="C205" s="1">
        <v>45495</v>
      </c>
      <c r="D205" t="s">
        <v>34</v>
      </c>
      <c r="E205" t="s">
        <v>35</v>
      </c>
      <c r="F205" t="s">
        <v>36</v>
      </c>
      <c r="G205" t="s">
        <v>37</v>
      </c>
      <c r="H205" t="s">
        <v>38</v>
      </c>
      <c r="I205" t="s">
        <v>39</v>
      </c>
      <c r="J205" s="91">
        <v>840.65599999999995</v>
      </c>
      <c r="K205" s="91">
        <v>0.71099999999999997</v>
      </c>
      <c r="L205" t="s">
        <v>724</v>
      </c>
      <c r="M205" t="s">
        <v>612</v>
      </c>
    </row>
    <row r="206" spans="1:13">
      <c r="A206" t="s">
        <v>837</v>
      </c>
      <c r="B206" t="s">
        <v>276</v>
      </c>
      <c r="C206" s="1">
        <v>45501</v>
      </c>
      <c r="D206" t="s">
        <v>47</v>
      </c>
      <c r="E206" t="s">
        <v>48</v>
      </c>
      <c r="F206" t="s">
        <v>49</v>
      </c>
      <c r="G206" t="s">
        <v>50</v>
      </c>
      <c r="H206" t="s">
        <v>51</v>
      </c>
      <c r="I206" t="s">
        <v>52</v>
      </c>
      <c r="J206" s="91">
        <v>144.57499999999999</v>
      </c>
      <c r="K206" s="91">
        <v>1.1719999999999999</v>
      </c>
      <c r="L206" t="s">
        <v>724</v>
      </c>
      <c r="M206" t="s">
        <v>612</v>
      </c>
    </row>
    <row r="207" spans="1:13">
      <c r="A207" t="s">
        <v>838</v>
      </c>
      <c r="B207" t="s">
        <v>284</v>
      </c>
      <c r="C207" s="1">
        <v>45500</v>
      </c>
      <c r="D207" t="s">
        <v>54</v>
      </c>
      <c r="E207" t="s">
        <v>55</v>
      </c>
      <c r="F207" t="s">
        <v>49</v>
      </c>
      <c r="G207" t="s">
        <v>56</v>
      </c>
      <c r="H207" t="s">
        <v>57</v>
      </c>
      <c r="I207" t="s">
        <v>58</v>
      </c>
      <c r="J207" s="91">
        <v>21611.284</v>
      </c>
      <c r="K207" s="91">
        <v>0.80200000000000005</v>
      </c>
      <c r="L207" t="s">
        <v>707</v>
      </c>
      <c r="M207" t="s">
        <v>612</v>
      </c>
    </row>
    <row r="208" spans="1:13">
      <c r="A208" t="s">
        <v>839</v>
      </c>
      <c r="B208" t="s">
        <v>289</v>
      </c>
      <c r="C208" s="1">
        <v>45498</v>
      </c>
      <c r="D208" t="s">
        <v>63</v>
      </c>
      <c r="E208" t="s">
        <v>64</v>
      </c>
      <c r="F208" t="s">
        <v>49</v>
      </c>
      <c r="G208" t="s">
        <v>56</v>
      </c>
      <c r="H208" t="s">
        <v>65</v>
      </c>
      <c r="I208" t="s">
        <v>66</v>
      </c>
      <c r="J208" s="91">
        <v>3455.6770000000001</v>
      </c>
      <c r="K208" s="91">
        <v>1.7569999999999999</v>
      </c>
      <c r="L208" t="s">
        <v>707</v>
      </c>
      <c r="M208" t="s">
        <v>612</v>
      </c>
    </row>
    <row r="209" spans="1:13">
      <c r="A209" t="s">
        <v>840</v>
      </c>
      <c r="B209" t="s">
        <v>298</v>
      </c>
      <c r="C209" s="1">
        <v>45498</v>
      </c>
      <c r="D209" t="s">
        <v>140</v>
      </c>
      <c r="E209" t="s">
        <v>141</v>
      </c>
      <c r="F209" t="s">
        <v>142</v>
      </c>
      <c r="G209" t="s">
        <v>84</v>
      </c>
      <c r="H209" t="s">
        <v>143</v>
      </c>
      <c r="I209" t="s">
        <v>144</v>
      </c>
      <c r="J209" s="91">
        <v>25125656.653999999</v>
      </c>
      <c r="K209" s="91">
        <v>803.02800000000002</v>
      </c>
      <c r="L209" t="s">
        <v>709</v>
      </c>
      <c r="M209" t="s">
        <v>612</v>
      </c>
    </row>
    <row r="210" spans="1:13">
      <c r="A210" t="s">
        <v>841</v>
      </c>
      <c r="B210" t="s">
        <v>288</v>
      </c>
      <c r="C210" s="1">
        <v>45508</v>
      </c>
      <c r="D210" t="s">
        <v>60</v>
      </c>
      <c r="E210" t="s">
        <v>61</v>
      </c>
      <c r="F210" t="s">
        <v>49</v>
      </c>
      <c r="G210" t="s">
        <v>56</v>
      </c>
      <c r="H210" t="s">
        <v>57</v>
      </c>
      <c r="I210" t="s">
        <v>58</v>
      </c>
      <c r="J210" s="91">
        <v>2303.4969999999998</v>
      </c>
      <c r="K210" s="91">
        <v>8.7270000000000003</v>
      </c>
      <c r="L210" t="s">
        <v>707</v>
      </c>
      <c r="M210" t="s">
        <v>612</v>
      </c>
    </row>
    <row r="211" spans="1:13">
      <c r="A211" t="s">
        <v>842</v>
      </c>
      <c r="B211" t="s">
        <v>273</v>
      </c>
      <c r="C211" s="1">
        <v>45510</v>
      </c>
      <c r="D211" t="s">
        <v>92</v>
      </c>
      <c r="E211" t="s">
        <v>93</v>
      </c>
      <c r="F211" t="s">
        <v>94</v>
      </c>
      <c r="G211" t="s">
        <v>56</v>
      </c>
      <c r="H211" t="s">
        <v>95</v>
      </c>
      <c r="I211" t="s">
        <v>96</v>
      </c>
      <c r="J211" s="91">
        <v>96.055999999999997</v>
      </c>
      <c r="K211" s="91">
        <v>0.127</v>
      </c>
      <c r="L211" t="s">
        <v>705</v>
      </c>
      <c r="M211" t="s">
        <v>612</v>
      </c>
    </row>
    <row r="212" spans="1:13">
      <c r="A212" t="s">
        <v>843</v>
      </c>
      <c r="B212" t="s">
        <v>287</v>
      </c>
      <c r="C212" s="1">
        <v>45512</v>
      </c>
      <c r="D212" t="s">
        <v>26</v>
      </c>
      <c r="E212" t="s">
        <v>27</v>
      </c>
      <c r="F212" t="s">
        <v>28</v>
      </c>
      <c r="G212" t="s">
        <v>29</v>
      </c>
      <c r="H212" t="s">
        <v>149</v>
      </c>
      <c r="I212" t="s">
        <v>150</v>
      </c>
      <c r="J212" s="91">
        <v>25697.64</v>
      </c>
      <c r="K212" s="91">
        <v>61.665999999999997</v>
      </c>
      <c r="L212" t="s">
        <v>713</v>
      </c>
      <c r="M212" t="s">
        <v>612</v>
      </c>
    </row>
    <row r="213" spans="1:13">
      <c r="A213" t="s">
        <v>844</v>
      </c>
      <c r="B213" t="s">
        <v>300</v>
      </c>
      <c r="C213" s="1">
        <v>45510</v>
      </c>
      <c r="D213" t="s">
        <v>41</v>
      </c>
      <c r="E213" t="s">
        <v>42</v>
      </c>
      <c r="F213" t="s">
        <v>43</v>
      </c>
      <c r="G213" t="s">
        <v>37</v>
      </c>
      <c r="H213" t="s">
        <v>44</v>
      </c>
      <c r="I213" t="s">
        <v>45</v>
      </c>
      <c r="J213" s="91">
        <v>51810.536999999997</v>
      </c>
      <c r="K213" s="91">
        <v>15.026</v>
      </c>
      <c r="L213" t="s">
        <v>713</v>
      </c>
      <c r="M213" t="s">
        <v>612</v>
      </c>
    </row>
    <row r="214" spans="1:13">
      <c r="A214" t="s">
        <v>845</v>
      </c>
      <c r="B214" t="s">
        <v>274</v>
      </c>
      <c r="C214" s="1">
        <v>45518</v>
      </c>
      <c r="D214" t="s">
        <v>34</v>
      </c>
      <c r="E214" t="s">
        <v>35</v>
      </c>
      <c r="F214" t="s">
        <v>36</v>
      </c>
      <c r="G214" t="s">
        <v>37</v>
      </c>
      <c r="H214" t="s">
        <v>38</v>
      </c>
      <c r="I214" t="s">
        <v>39</v>
      </c>
      <c r="J214" s="91">
        <v>843.29899999999998</v>
      </c>
      <c r="K214" s="91">
        <v>3.8919999999999999</v>
      </c>
      <c r="L214" t="s">
        <v>724</v>
      </c>
      <c r="M214" t="s">
        <v>612</v>
      </c>
    </row>
    <row r="215" spans="1:13">
      <c r="A215" t="s">
        <v>846</v>
      </c>
      <c r="B215" t="s">
        <v>296</v>
      </c>
      <c r="C215" s="1">
        <v>45521</v>
      </c>
      <c r="D215" t="s">
        <v>117</v>
      </c>
      <c r="E215" t="s">
        <v>118</v>
      </c>
      <c r="F215" t="s">
        <v>119</v>
      </c>
      <c r="G215" t="s">
        <v>120</v>
      </c>
      <c r="H215" t="s">
        <v>121</v>
      </c>
      <c r="I215" t="s">
        <v>122</v>
      </c>
      <c r="J215" s="91">
        <v>15045192.352</v>
      </c>
      <c r="K215" s="91">
        <v>29437.807000000001</v>
      </c>
      <c r="L215" t="s">
        <v>713</v>
      </c>
      <c r="M215" t="s">
        <v>612</v>
      </c>
    </row>
    <row r="216" spans="1:13">
      <c r="A216" t="s">
        <v>847</v>
      </c>
      <c r="B216" t="s">
        <v>297</v>
      </c>
      <c r="C216" s="1">
        <v>45522</v>
      </c>
      <c r="D216" t="s">
        <v>124</v>
      </c>
      <c r="E216" t="s">
        <v>125</v>
      </c>
      <c r="F216" t="s">
        <v>119</v>
      </c>
      <c r="G216" t="s">
        <v>126</v>
      </c>
      <c r="H216" t="s">
        <v>121</v>
      </c>
      <c r="I216" t="s">
        <v>122</v>
      </c>
      <c r="J216" s="91">
        <v>8779903.1740000006</v>
      </c>
      <c r="K216" s="91">
        <v>4104.2870000000003</v>
      </c>
      <c r="L216" t="s">
        <v>707</v>
      </c>
      <c r="M216" t="s">
        <v>612</v>
      </c>
    </row>
    <row r="217" spans="1:13">
      <c r="A217" t="s">
        <v>848</v>
      </c>
      <c r="B217" t="s">
        <v>282</v>
      </c>
      <c r="C217" s="1">
        <v>45524</v>
      </c>
      <c r="D217" t="s">
        <v>111</v>
      </c>
      <c r="E217" t="s">
        <v>112</v>
      </c>
      <c r="F217" t="s">
        <v>113</v>
      </c>
      <c r="G217" t="s">
        <v>84</v>
      </c>
      <c r="H217" t="s">
        <v>114</v>
      </c>
      <c r="I217" t="s">
        <v>115</v>
      </c>
      <c r="J217" s="91">
        <v>26805745.890999999</v>
      </c>
      <c r="K217" s="91">
        <v>370641.99300000002</v>
      </c>
      <c r="L217" t="s">
        <v>707</v>
      </c>
      <c r="M217" t="s">
        <v>612</v>
      </c>
    </row>
    <row r="218" spans="1:13">
      <c r="A218" t="s">
        <v>849</v>
      </c>
      <c r="B218" t="s">
        <v>291</v>
      </c>
      <c r="C218" s="1">
        <v>45526</v>
      </c>
      <c r="D218" t="s">
        <v>134</v>
      </c>
      <c r="E218" t="s">
        <v>135</v>
      </c>
      <c r="F218" t="s">
        <v>136</v>
      </c>
      <c r="G218" t="s">
        <v>101</v>
      </c>
      <c r="H218" t="s">
        <v>137</v>
      </c>
      <c r="I218" t="s">
        <v>138</v>
      </c>
      <c r="J218" s="91">
        <v>73526.2</v>
      </c>
      <c r="K218" s="91">
        <v>6.5010000000000003</v>
      </c>
      <c r="L218" t="s">
        <v>724</v>
      </c>
      <c r="M218" t="s">
        <v>612</v>
      </c>
    </row>
    <row r="219" spans="1:13">
      <c r="A219" t="s">
        <v>850</v>
      </c>
      <c r="B219" t="s">
        <v>301</v>
      </c>
      <c r="C219" s="1">
        <v>45524</v>
      </c>
      <c r="D219" t="s">
        <v>76</v>
      </c>
      <c r="E219" t="s">
        <v>77</v>
      </c>
      <c r="F219" t="s">
        <v>78</v>
      </c>
      <c r="G219" t="s">
        <v>37</v>
      </c>
      <c r="H219" t="s">
        <v>79</v>
      </c>
      <c r="I219" t="s">
        <v>80</v>
      </c>
      <c r="J219" s="91">
        <v>14421.433999999999</v>
      </c>
      <c r="K219" s="91">
        <v>5.4560000000000004</v>
      </c>
      <c r="L219" t="s">
        <v>713</v>
      </c>
      <c r="M219" t="s">
        <v>612</v>
      </c>
    </row>
    <row r="220" spans="1:13">
      <c r="A220" t="s">
        <v>851</v>
      </c>
      <c r="B220" t="s">
        <v>307</v>
      </c>
      <c r="C220" s="1">
        <v>45529</v>
      </c>
      <c r="D220" t="s">
        <v>68</v>
      </c>
      <c r="E220" t="s">
        <v>69</v>
      </c>
      <c r="F220" t="s">
        <v>43</v>
      </c>
      <c r="G220" t="s">
        <v>37</v>
      </c>
      <c r="H220" t="s">
        <v>44</v>
      </c>
      <c r="I220" t="s">
        <v>45</v>
      </c>
      <c r="J220" s="91">
        <v>172525.84</v>
      </c>
      <c r="K220" s="91">
        <v>278.43599999999998</v>
      </c>
      <c r="L220" t="s">
        <v>713</v>
      </c>
      <c r="M220" t="s">
        <v>612</v>
      </c>
    </row>
    <row r="221" spans="1:13">
      <c r="A221" t="s">
        <v>852</v>
      </c>
      <c r="B221" t="s">
        <v>294</v>
      </c>
      <c r="C221" s="1">
        <v>45536</v>
      </c>
      <c r="D221" t="s">
        <v>73</v>
      </c>
      <c r="E221" t="s">
        <v>74</v>
      </c>
      <c r="F221" t="s">
        <v>43</v>
      </c>
      <c r="G221" t="s">
        <v>37</v>
      </c>
      <c r="H221" t="s">
        <v>70</v>
      </c>
      <c r="I221" t="s">
        <v>71</v>
      </c>
      <c r="J221" s="91">
        <v>71997.441999999995</v>
      </c>
      <c r="K221" s="91">
        <v>76.924000000000007</v>
      </c>
      <c r="L221" t="s">
        <v>724</v>
      </c>
      <c r="M221" t="s">
        <v>612</v>
      </c>
    </row>
    <row r="222" spans="1:13">
      <c r="A222" t="s">
        <v>853</v>
      </c>
      <c r="B222" t="s">
        <v>304</v>
      </c>
      <c r="C222" s="1">
        <v>45534</v>
      </c>
      <c r="D222" t="s">
        <v>82</v>
      </c>
      <c r="E222" t="s">
        <v>83</v>
      </c>
      <c r="F222" t="s">
        <v>78</v>
      </c>
      <c r="G222" t="s">
        <v>84</v>
      </c>
      <c r="H222" t="s">
        <v>79</v>
      </c>
      <c r="I222" t="s">
        <v>80</v>
      </c>
      <c r="J222" s="91">
        <v>345.04199999999997</v>
      </c>
      <c r="K222" s="91">
        <v>0.14499999999999999</v>
      </c>
      <c r="L222" t="s">
        <v>724</v>
      </c>
      <c r="M222" t="s">
        <v>612</v>
      </c>
    </row>
    <row r="223" spans="1:13">
      <c r="A223" t="s">
        <v>854</v>
      </c>
      <c r="B223" t="s">
        <v>317</v>
      </c>
      <c r="C223" s="1">
        <v>45530</v>
      </c>
      <c r="D223" t="s">
        <v>140</v>
      </c>
      <c r="E223" t="s">
        <v>141</v>
      </c>
      <c r="F223" t="s">
        <v>142</v>
      </c>
      <c r="G223" t="s">
        <v>84</v>
      </c>
      <c r="H223" t="s">
        <v>143</v>
      </c>
      <c r="I223" t="s">
        <v>144</v>
      </c>
      <c r="J223" s="91">
        <v>23915279.221000001</v>
      </c>
      <c r="K223" s="91">
        <v>5130.4859999999999</v>
      </c>
      <c r="L223" t="s">
        <v>707</v>
      </c>
      <c r="M223" t="s">
        <v>612</v>
      </c>
    </row>
    <row r="224" spans="1:13">
      <c r="A224" t="s">
        <v>855</v>
      </c>
      <c r="B224" t="s">
        <v>293</v>
      </c>
      <c r="C224" s="1">
        <v>45538</v>
      </c>
      <c r="D224" t="s">
        <v>47</v>
      </c>
      <c r="E224" t="s">
        <v>48</v>
      </c>
      <c r="F224" t="s">
        <v>49</v>
      </c>
      <c r="G224" t="s">
        <v>50</v>
      </c>
      <c r="H224" t="s">
        <v>51</v>
      </c>
      <c r="I224" t="s">
        <v>52</v>
      </c>
      <c r="J224" s="91">
        <v>145.31800000000001</v>
      </c>
      <c r="K224" s="91">
        <v>5.5E-2</v>
      </c>
      <c r="L224" t="s">
        <v>713</v>
      </c>
      <c r="M224" t="s">
        <v>612</v>
      </c>
    </row>
    <row r="225" spans="1:13">
      <c r="A225" t="s">
        <v>856</v>
      </c>
      <c r="B225" t="s">
        <v>303</v>
      </c>
      <c r="C225" s="1">
        <v>45538</v>
      </c>
      <c r="D225" t="s">
        <v>54</v>
      </c>
      <c r="E225" t="s">
        <v>55</v>
      </c>
      <c r="F225" t="s">
        <v>49</v>
      </c>
      <c r="G225" t="s">
        <v>56</v>
      </c>
      <c r="H225" t="s">
        <v>57</v>
      </c>
      <c r="I225" t="s">
        <v>58</v>
      </c>
      <c r="J225" s="91">
        <v>24108.215</v>
      </c>
      <c r="K225" s="91">
        <v>11.396000000000001</v>
      </c>
      <c r="L225" t="s">
        <v>705</v>
      </c>
      <c r="M225" t="s">
        <v>612</v>
      </c>
    </row>
    <row r="226" spans="1:13">
      <c r="A226" t="s">
        <v>857</v>
      </c>
      <c r="B226" t="s">
        <v>310</v>
      </c>
      <c r="C226" s="1">
        <v>45538</v>
      </c>
      <c r="D226" t="s">
        <v>63</v>
      </c>
      <c r="E226" t="s">
        <v>64</v>
      </c>
      <c r="F226" t="s">
        <v>49</v>
      </c>
      <c r="G226" t="s">
        <v>56</v>
      </c>
      <c r="H226" t="s">
        <v>65</v>
      </c>
      <c r="I226" t="s">
        <v>66</v>
      </c>
      <c r="J226" s="91">
        <v>3451.7570000000001</v>
      </c>
      <c r="K226" s="91">
        <v>0.76900000000000002</v>
      </c>
      <c r="L226" t="s">
        <v>724</v>
      </c>
      <c r="M226" t="s">
        <v>612</v>
      </c>
    </row>
    <row r="227" spans="1:13">
      <c r="A227" t="s">
        <v>858</v>
      </c>
      <c r="B227" t="s">
        <v>318</v>
      </c>
      <c r="C227" s="1">
        <v>45539</v>
      </c>
      <c r="D227" t="s">
        <v>73</v>
      </c>
      <c r="E227" t="s">
        <v>74</v>
      </c>
      <c r="F227" t="s">
        <v>43</v>
      </c>
      <c r="G227" t="s">
        <v>37</v>
      </c>
      <c r="H227" t="s">
        <v>70</v>
      </c>
      <c r="I227" t="s">
        <v>71</v>
      </c>
      <c r="J227" s="91">
        <v>65750</v>
      </c>
      <c r="K227" s="91">
        <v>82.123999999999995</v>
      </c>
      <c r="L227" t="s">
        <v>709</v>
      </c>
      <c r="M227" t="s">
        <v>612</v>
      </c>
    </row>
    <row r="228" spans="1:13">
      <c r="A228" t="s">
        <v>859</v>
      </c>
      <c r="B228" t="s">
        <v>306</v>
      </c>
      <c r="C228" s="1">
        <v>45544</v>
      </c>
      <c r="D228" t="s">
        <v>60</v>
      </c>
      <c r="E228" t="s">
        <v>61</v>
      </c>
      <c r="F228" t="s">
        <v>49</v>
      </c>
      <c r="G228" t="s">
        <v>56</v>
      </c>
      <c r="H228" t="s">
        <v>57</v>
      </c>
      <c r="I228" t="s">
        <v>58</v>
      </c>
      <c r="J228" s="91">
        <v>1924.7270000000001</v>
      </c>
      <c r="K228" s="91">
        <v>1.347</v>
      </c>
      <c r="L228" t="s">
        <v>713</v>
      </c>
      <c r="M228" t="s">
        <v>612</v>
      </c>
    </row>
    <row r="229" spans="1:13">
      <c r="A229" t="s">
        <v>860</v>
      </c>
      <c r="B229" t="s">
        <v>295</v>
      </c>
      <c r="C229" s="1">
        <v>45553</v>
      </c>
      <c r="D229" t="s">
        <v>92</v>
      </c>
      <c r="E229" t="s">
        <v>93</v>
      </c>
      <c r="F229" t="s">
        <v>94</v>
      </c>
      <c r="G229" t="s">
        <v>56</v>
      </c>
      <c r="H229" t="s">
        <v>95</v>
      </c>
      <c r="I229" t="s">
        <v>96</v>
      </c>
      <c r="J229" s="91">
        <v>115.157</v>
      </c>
      <c r="K229" s="91">
        <v>0.10199999999999999</v>
      </c>
      <c r="L229" t="s">
        <v>705</v>
      </c>
      <c r="M229" t="s">
        <v>612</v>
      </c>
    </row>
    <row r="230" spans="1:13">
      <c r="A230" t="s">
        <v>861</v>
      </c>
      <c r="B230" t="s">
        <v>309</v>
      </c>
      <c r="C230" s="1">
        <v>45556</v>
      </c>
      <c r="D230" t="s">
        <v>26</v>
      </c>
      <c r="E230" t="s">
        <v>27</v>
      </c>
      <c r="F230" t="s">
        <v>28</v>
      </c>
      <c r="G230" t="s">
        <v>29</v>
      </c>
      <c r="H230" t="s">
        <v>30</v>
      </c>
      <c r="I230" t="s">
        <v>31</v>
      </c>
      <c r="J230" s="91">
        <v>31906.238000000001</v>
      </c>
      <c r="K230" s="91">
        <v>15.108000000000001</v>
      </c>
      <c r="L230" t="s">
        <v>705</v>
      </c>
      <c r="M230" t="s">
        <v>612</v>
      </c>
    </row>
    <row r="231" spans="1:13">
      <c r="A231" t="s">
        <v>862</v>
      </c>
      <c r="B231" t="s">
        <v>315</v>
      </c>
      <c r="C231" s="1">
        <v>45554</v>
      </c>
      <c r="D231" t="s">
        <v>117</v>
      </c>
      <c r="E231" t="s">
        <v>118</v>
      </c>
      <c r="F231" t="s">
        <v>119</v>
      </c>
      <c r="G231" t="s">
        <v>120</v>
      </c>
      <c r="H231" t="s">
        <v>121</v>
      </c>
      <c r="I231" t="s">
        <v>122</v>
      </c>
      <c r="J231" s="91">
        <v>14336298.893999999</v>
      </c>
      <c r="K231" s="91">
        <v>15303.941999999999</v>
      </c>
      <c r="L231" t="s">
        <v>713</v>
      </c>
      <c r="M231" t="s">
        <v>612</v>
      </c>
    </row>
    <row r="232" spans="1:13">
      <c r="A232" t="s">
        <v>863</v>
      </c>
      <c r="B232" t="s">
        <v>316</v>
      </c>
      <c r="C232" s="1">
        <v>45554</v>
      </c>
      <c r="D232" t="s">
        <v>124</v>
      </c>
      <c r="E232" t="s">
        <v>125</v>
      </c>
      <c r="F232" t="s">
        <v>119</v>
      </c>
      <c r="G232" t="s">
        <v>126</v>
      </c>
      <c r="H232" t="s">
        <v>121</v>
      </c>
      <c r="I232" t="s">
        <v>122</v>
      </c>
      <c r="J232" s="91">
        <v>8349773.2539999997</v>
      </c>
      <c r="K232" s="91">
        <v>2635.6109999999999</v>
      </c>
      <c r="L232" t="s">
        <v>709</v>
      </c>
      <c r="M232" t="s">
        <v>612</v>
      </c>
    </row>
    <row r="233" spans="1:13">
      <c r="A233" t="s">
        <v>864</v>
      </c>
      <c r="B233" t="s">
        <v>322</v>
      </c>
      <c r="C233" s="1">
        <v>45555</v>
      </c>
      <c r="D233" t="s">
        <v>41</v>
      </c>
      <c r="E233" t="s">
        <v>42</v>
      </c>
      <c r="F233" t="s">
        <v>43</v>
      </c>
      <c r="G233" t="s">
        <v>37</v>
      </c>
      <c r="H233" t="s">
        <v>44</v>
      </c>
      <c r="I233" t="s">
        <v>45</v>
      </c>
      <c r="J233" s="91">
        <v>47355.025999999998</v>
      </c>
      <c r="K233" s="91">
        <v>22.48</v>
      </c>
      <c r="L233" t="s">
        <v>707</v>
      </c>
      <c r="M233" t="s">
        <v>612</v>
      </c>
    </row>
    <row r="234" spans="1:13">
      <c r="A234" t="s">
        <v>865</v>
      </c>
      <c r="B234" t="s">
        <v>299</v>
      </c>
      <c r="C234" s="1">
        <v>45561</v>
      </c>
      <c r="D234" t="s">
        <v>34</v>
      </c>
      <c r="E234" t="s">
        <v>35</v>
      </c>
      <c r="F234" t="s">
        <v>36</v>
      </c>
      <c r="G234" t="s">
        <v>37</v>
      </c>
      <c r="H234" t="s">
        <v>38</v>
      </c>
      <c r="I234" t="s">
        <v>39</v>
      </c>
      <c r="J234" s="91">
        <v>1007.125</v>
      </c>
      <c r="K234" s="91">
        <v>0.94799999999999995</v>
      </c>
      <c r="L234" t="s">
        <v>705</v>
      </c>
      <c r="M234" t="s">
        <v>612</v>
      </c>
    </row>
    <row r="235" spans="1:13">
      <c r="A235" t="s">
        <v>866</v>
      </c>
      <c r="B235" t="s">
        <v>302</v>
      </c>
      <c r="C235" s="1">
        <v>45560</v>
      </c>
      <c r="D235" t="s">
        <v>111</v>
      </c>
      <c r="E235" t="s">
        <v>112</v>
      </c>
      <c r="F235" t="s">
        <v>113</v>
      </c>
      <c r="G235" t="s">
        <v>84</v>
      </c>
      <c r="H235" t="s">
        <v>114</v>
      </c>
      <c r="I235" t="s">
        <v>115</v>
      </c>
      <c r="J235" s="91">
        <v>24366956.179000001</v>
      </c>
      <c r="K235" s="91">
        <v>13464.189</v>
      </c>
      <c r="L235" t="s">
        <v>709</v>
      </c>
      <c r="M235" t="s">
        <v>612</v>
      </c>
    </row>
    <row r="236" spans="1:13">
      <c r="A236" t="s">
        <v>867</v>
      </c>
      <c r="B236" t="s">
        <v>308</v>
      </c>
      <c r="C236" s="1">
        <v>45561</v>
      </c>
      <c r="D236" t="s">
        <v>134</v>
      </c>
      <c r="E236" t="s">
        <v>135</v>
      </c>
      <c r="F236" t="s">
        <v>136</v>
      </c>
      <c r="G236" t="s">
        <v>101</v>
      </c>
      <c r="H236" t="s">
        <v>137</v>
      </c>
      <c r="I236" t="s">
        <v>138</v>
      </c>
      <c r="J236" s="91">
        <v>70033.728000000003</v>
      </c>
      <c r="K236" s="91">
        <v>6.6159999999999997</v>
      </c>
      <c r="L236" t="s">
        <v>713</v>
      </c>
      <c r="M236" t="s">
        <v>612</v>
      </c>
    </row>
    <row r="237" spans="1:13">
      <c r="A237" t="s">
        <v>868</v>
      </c>
      <c r="B237" t="s">
        <v>323</v>
      </c>
      <c r="C237" s="1">
        <v>45568</v>
      </c>
      <c r="D237" t="s">
        <v>76</v>
      </c>
      <c r="E237" t="s">
        <v>77</v>
      </c>
      <c r="F237" t="s">
        <v>78</v>
      </c>
      <c r="G237" t="s">
        <v>37</v>
      </c>
      <c r="H237" t="s">
        <v>79</v>
      </c>
      <c r="I237" t="s">
        <v>80</v>
      </c>
      <c r="J237" s="91">
        <v>15785.456</v>
      </c>
      <c r="K237" s="91">
        <v>177.613</v>
      </c>
      <c r="L237" t="s">
        <v>724</v>
      </c>
      <c r="M237" t="s">
        <v>612</v>
      </c>
    </row>
    <row r="238" spans="1:13">
      <c r="A238" t="s">
        <v>869</v>
      </c>
      <c r="B238" t="s">
        <v>328</v>
      </c>
      <c r="C238" s="1">
        <v>45568</v>
      </c>
      <c r="D238" t="s">
        <v>68</v>
      </c>
      <c r="E238" t="s">
        <v>69</v>
      </c>
      <c r="F238" t="s">
        <v>43</v>
      </c>
      <c r="G238" t="s">
        <v>37</v>
      </c>
      <c r="H238" t="s">
        <v>70</v>
      </c>
      <c r="I238" t="s">
        <v>71</v>
      </c>
      <c r="J238" s="91">
        <v>157928.43599999999</v>
      </c>
      <c r="K238" s="91">
        <v>107.232</v>
      </c>
      <c r="L238" t="s">
        <v>705</v>
      </c>
      <c r="M238" t="s">
        <v>612</v>
      </c>
    </row>
    <row r="239" spans="1:13">
      <c r="A239" t="s">
        <v>870</v>
      </c>
      <c r="B239" t="s">
        <v>334</v>
      </c>
      <c r="C239" s="1">
        <v>45569</v>
      </c>
      <c r="D239" t="s">
        <v>140</v>
      </c>
      <c r="E239" t="s">
        <v>141</v>
      </c>
      <c r="F239" t="s">
        <v>142</v>
      </c>
      <c r="G239" t="s">
        <v>84</v>
      </c>
      <c r="H239" t="s">
        <v>143</v>
      </c>
      <c r="I239" t="s">
        <v>144</v>
      </c>
      <c r="J239" s="91">
        <v>24570979.921999998</v>
      </c>
      <c r="K239" s="91">
        <v>5726.3389999999999</v>
      </c>
      <c r="L239" t="s">
        <v>707</v>
      </c>
      <c r="M239" t="s">
        <v>612</v>
      </c>
    </row>
    <row r="240" spans="1:13">
      <c r="A240" t="s">
        <v>871</v>
      </c>
      <c r="B240" t="s">
        <v>312</v>
      </c>
      <c r="C240" s="1">
        <v>45576</v>
      </c>
      <c r="D240" t="s">
        <v>47</v>
      </c>
      <c r="E240" t="s">
        <v>48</v>
      </c>
      <c r="F240" t="s">
        <v>49</v>
      </c>
      <c r="G240" t="s">
        <v>50</v>
      </c>
      <c r="H240" t="s">
        <v>51</v>
      </c>
      <c r="I240" t="s">
        <v>52</v>
      </c>
      <c r="J240" s="91">
        <v>144.72200000000001</v>
      </c>
      <c r="K240" s="91">
        <v>3.53</v>
      </c>
      <c r="L240" t="s">
        <v>724</v>
      </c>
      <c r="M240" t="s">
        <v>612</v>
      </c>
    </row>
    <row r="241" spans="1:13">
      <c r="A241" t="s">
        <v>872</v>
      </c>
      <c r="B241" t="s">
        <v>325</v>
      </c>
      <c r="C241" s="1">
        <v>45574</v>
      </c>
      <c r="D241" t="s">
        <v>82</v>
      </c>
      <c r="E241" t="s">
        <v>83</v>
      </c>
      <c r="F241" t="s">
        <v>78</v>
      </c>
      <c r="G241" t="s">
        <v>84</v>
      </c>
      <c r="H241" t="s">
        <v>79</v>
      </c>
      <c r="I241" t="s">
        <v>80</v>
      </c>
      <c r="J241" s="91">
        <v>315.745</v>
      </c>
      <c r="K241" s="91">
        <v>1.657</v>
      </c>
      <c r="L241" t="s">
        <v>724</v>
      </c>
      <c r="M241" t="s">
        <v>612</v>
      </c>
    </row>
    <row r="242" spans="1:13">
      <c r="A242" t="s">
        <v>873</v>
      </c>
      <c r="B242" t="s">
        <v>324</v>
      </c>
      <c r="C242" s="1">
        <v>45581</v>
      </c>
      <c r="D242" t="s">
        <v>54</v>
      </c>
      <c r="E242" t="s">
        <v>55</v>
      </c>
      <c r="F242" t="s">
        <v>49</v>
      </c>
      <c r="G242" t="s">
        <v>56</v>
      </c>
      <c r="H242" t="s">
        <v>57</v>
      </c>
      <c r="I242" t="s">
        <v>58</v>
      </c>
      <c r="J242" s="91">
        <v>23681.396000000001</v>
      </c>
      <c r="K242" s="91">
        <v>25.17</v>
      </c>
      <c r="L242" t="s">
        <v>724</v>
      </c>
      <c r="M242" t="s">
        <v>612</v>
      </c>
    </row>
    <row r="243" spans="1:13">
      <c r="A243" t="s">
        <v>874</v>
      </c>
      <c r="B243" t="s">
        <v>330</v>
      </c>
      <c r="C243" s="1">
        <v>45582</v>
      </c>
      <c r="D243" t="s">
        <v>63</v>
      </c>
      <c r="E243" t="s">
        <v>64</v>
      </c>
      <c r="F243" t="s">
        <v>49</v>
      </c>
      <c r="G243" t="s">
        <v>56</v>
      </c>
      <c r="H243" t="s">
        <v>65</v>
      </c>
      <c r="I243" t="s">
        <v>66</v>
      </c>
      <c r="J243" s="91">
        <v>3153.7689999999998</v>
      </c>
      <c r="K243" s="91">
        <v>0.59899999999999998</v>
      </c>
      <c r="L243" t="s">
        <v>705</v>
      </c>
      <c r="M243" t="s">
        <v>612</v>
      </c>
    </row>
    <row r="244" spans="1:13">
      <c r="A244" t="s">
        <v>875</v>
      </c>
      <c r="B244" t="s">
        <v>327</v>
      </c>
      <c r="C244" s="1">
        <v>45587</v>
      </c>
      <c r="D244" t="s">
        <v>60</v>
      </c>
      <c r="E244" t="s">
        <v>61</v>
      </c>
      <c r="F244" t="s">
        <v>49</v>
      </c>
      <c r="G244" t="s">
        <v>56</v>
      </c>
      <c r="H244" t="s">
        <v>57</v>
      </c>
      <c r="I244" t="s">
        <v>58</v>
      </c>
      <c r="J244" s="91">
        <v>2103.3470000000002</v>
      </c>
      <c r="K244" s="91">
        <v>3.2429999999999999</v>
      </c>
      <c r="L244" t="s">
        <v>709</v>
      </c>
      <c r="M244" t="s">
        <v>612</v>
      </c>
    </row>
    <row r="245" spans="1:13">
      <c r="A245" t="s">
        <v>876</v>
      </c>
      <c r="B245" t="s">
        <v>340</v>
      </c>
      <c r="C245" s="1">
        <v>45590</v>
      </c>
      <c r="D245" t="s">
        <v>73</v>
      </c>
      <c r="E245" t="s">
        <v>74</v>
      </c>
      <c r="F245" t="s">
        <v>43</v>
      </c>
      <c r="G245" t="s">
        <v>37</v>
      </c>
      <c r="H245" t="s">
        <v>70</v>
      </c>
      <c r="I245" t="s">
        <v>71</v>
      </c>
      <c r="J245" s="91">
        <v>71971.547999999995</v>
      </c>
      <c r="K245" s="91">
        <v>36.506</v>
      </c>
      <c r="L245" t="s">
        <v>707</v>
      </c>
      <c r="M245" t="s">
        <v>612</v>
      </c>
    </row>
    <row r="246" spans="1:13">
      <c r="A246" t="s">
        <v>877</v>
      </c>
      <c r="B246" t="s">
        <v>319</v>
      </c>
      <c r="C246" s="1">
        <v>45596</v>
      </c>
      <c r="D246" t="s">
        <v>92</v>
      </c>
      <c r="E246" t="s">
        <v>93</v>
      </c>
      <c r="F246" t="s">
        <v>94</v>
      </c>
      <c r="G246" t="s">
        <v>56</v>
      </c>
      <c r="H246" t="s">
        <v>95</v>
      </c>
      <c r="I246" t="s">
        <v>96</v>
      </c>
      <c r="J246" s="91">
        <v>105.327</v>
      </c>
      <c r="K246" s="91">
        <v>5.8999999999999997E-2</v>
      </c>
      <c r="L246" t="s">
        <v>724</v>
      </c>
      <c r="M246" t="s">
        <v>612</v>
      </c>
    </row>
    <row r="247" spans="1:13">
      <c r="A247" t="s">
        <v>878</v>
      </c>
      <c r="B247" t="s">
        <v>320</v>
      </c>
      <c r="C247" s="1">
        <v>45597</v>
      </c>
      <c r="D247" t="s">
        <v>111</v>
      </c>
      <c r="E247" t="s">
        <v>112</v>
      </c>
      <c r="F247" t="s">
        <v>113</v>
      </c>
      <c r="G247" t="s">
        <v>84</v>
      </c>
      <c r="H247" t="s">
        <v>114</v>
      </c>
      <c r="I247" t="s">
        <v>115</v>
      </c>
      <c r="J247" s="91">
        <v>25124969.208999999</v>
      </c>
      <c r="K247" s="91">
        <v>108018.83100000001</v>
      </c>
      <c r="L247" t="s">
        <v>705</v>
      </c>
      <c r="M247" t="s">
        <v>612</v>
      </c>
    </row>
    <row r="248" spans="1:13">
      <c r="A248" t="s">
        <v>879</v>
      </c>
      <c r="B248" t="s">
        <v>326</v>
      </c>
      <c r="C248" s="1">
        <v>45597</v>
      </c>
      <c r="D248" t="s">
        <v>134</v>
      </c>
      <c r="E248" t="s">
        <v>135</v>
      </c>
      <c r="F248" t="s">
        <v>136</v>
      </c>
      <c r="G248" t="s">
        <v>101</v>
      </c>
      <c r="H248" t="s">
        <v>137</v>
      </c>
      <c r="I248" t="s">
        <v>138</v>
      </c>
      <c r="J248" s="91">
        <v>68916.259000000005</v>
      </c>
      <c r="K248" s="91">
        <v>56.137999999999998</v>
      </c>
      <c r="L248" t="s">
        <v>707</v>
      </c>
      <c r="M248" t="s">
        <v>612</v>
      </c>
    </row>
    <row r="249" spans="1:13">
      <c r="A249" t="s">
        <v>880</v>
      </c>
      <c r="B249" t="s">
        <v>329</v>
      </c>
      <c r="C249" s="1">
        <v>45596</v>
      </c>
      <c r="D249" t="s">
        <v>26</v>
      </c>
      <c r="E249" t="s">
        <v>27</v>
      </c>
      <c r="F249" t="s">
        <v>28</v>
      </c>
      <c r="G249" t="s">
        <v>29</v>
      </c>
      <c r="H249" t="s">
        <v>149</v>
      </c>
      <c r="I249" t="s">
        <v>150</v>
      </c>
      <c r="J249" s="91">
        <v>26290.108</v>
      </c>
      <c r="K249" s="91">
        <v>1.5820000000000001</v>
      </c>
      <c r="L249" t="s">
        <v>713</v>
      </c>
      <c r="M249" t="s">
        <v>612</v>
      </c>
    </row>
    <row r="250" spans="1:13">
      <c r="A250" t="s">
        <v>881</v>
      </c>
      <c r="B250" t="s">
        <v>333</v>
      </c>
      <c r="C250" s="1">
        <v>45594</v>
      </c>
      <c r="D250" t="s">
        <v>124</v>
      </c>
      <c r="E250" t="s">
        <v>125</v>
      </c>
      <c r="F250" t="s">
        <v>119</v>
      </c>
      <c r="G250" t="s">
        <v>126</v>
      </c>
      <c r="H250" t="s">
        <v>121</v>
      </c>
      <c r="I250" t="s">
        <v>122</v>
      </c>
      <c r="J250" s="91">
        <v>8577172.7770000007</v>
      </c>
      <c r="K250" s="91">
        <v>13971.495999999999</v>
      </c>
      <c r="L250" t="s">
        <v>707</v>
      </c>
      <c r="M250" t="s">
        <v>612</v>
      </c>
    </row>
    <row r="251" spans="1:13">
      <c r="A251" t="s">
        <v>882</v>
      </c>
      <c r="B251" t="s">
        <v>332</v>
      </c>
      <c r="C251" s="1">
        <v>45605</v>
      </c>
      <c r="D251" t="s">
        <v>117</v>
      </c>
      <c r="E251" t="s">
        <v>118</v>
      </c>
      <c r="F251" t="s">
        <v>119</v>
      </c>
      <c r="G251" t="s">
        <v>120</v>
      </c>
      <c r="H251" t="s">
        <v>121</v>
      </c>
      <c r="I251" t="s">
        <v>122</v>
      </c>
      <c r="J251" s="91">
        <v>14714510.512</v>
      </c>
      <c r="K251" s="91">
        <v>9454.1740000000009</v>
      </c>
      <c r="L251" t="s">
        <v>707</v>
      </c>
      <c r="M251" t="s">
        <v>612</v>
      </c>
    </row>
    <row r="252" spans="1:13">
      <c r="A252" t="s">
        <v>883</v>
      </c>
      <c r="B252" t="s">
        <v>341</v>
      </c>
      <c r="C252" s="1">
        <v>45602</v>
      </c>
      <c r="D252" t="s">
        <v>76</v>
      </c>
      <c r="E252" t="s">
        <v>77</v>
      </c>
      <c r="F252" t="s">
        <v>78</v>
      </c>
      <c r="G252" t="s">
        <v>37</v>
      </c>
      <c r="H252" t="s">
        <v>79</v>
      </c>
      <c r="I252" t="s">
        <v>80</v>
      </c>
      <c r="J252" s="91">
        <v>14532.612999999999</v>
      </c>
      <c r="K252" s="91">
        <v>66.867000000000004</v>
      </c>
      <c r="L252" t="s">
        <v>724</v>
      </c>
      <c r="M252" t="s">
        <v>612</v>
      </c>
    </row>
    <row r="253" spans="1:13">
      <c r="A253" t="s">
        <v>884</v>
      </c>
      <c r="B253" t="s">
        <v>353</v>
      </c>
      <c r="C253" s="1">
        <v>45605</v>
      </c>
      <c r="D253" t="s">
        <v>140</v>
      </c>
      <c r="E253" t="s">
        <v>141</v>
      </c>
      <c r="F253" t="s">
        <v>142</v>
      </c>
      <c r="G253" t="s">
        <v>84</v>
      </c>
      <c r="H253" t="s">
        <v>143</v>
      </c>
      <c r="I253" t="s">
        <v>144</v>
      </c>
      <c r="J253" s="91">
        <v>23863869.826000001</v>
      </c>
      <c r="K253" s="91">
        <v>507.59199999999998</v>
      </c>
      <c r="L253" t="s">
        <v>707</v>
      </c>
      <c r="M253" t="s">
        <v>612</v>
      </c>
    </row>
    <row r="254" spans="1:13">
      <c r="A254" t="s">
        <v>885</v>
      </c>
      <c r="B254" t="s">
        <v>321</v>
      </c>
      <c r="C254" s="1">
        <v>45609</v>
      </c>
      <c r="D254" t="s">
        <v>34</v>
      </c>
      <c r="E254" t="s">
        <v>35</v>
      </c>
      <c r="F254" t="s">
        <v>36</v>
      </c>
      <c r="G254" t="s">
        <v>37</v>
      </c>
      <c r="H254" t="s">
        <v>38</v>
      </c>
      <c r="I254" t="s">
        <v>39</v>
      </c>
      <c r="J254" s="91">
        <v>370.041</v>
      </c>
      <c r="K254" s="91">
        <v>0.52800000000000002</v>
      </c>
      <c r="L254" t="s">
        <v>724</v>
      </c>
      <c r="M254" t="s">
        <v>612</v>
      </c>
    </row>
    <row r="255" spans="1:13">
      <c r="A255" t="s">
        <v>886</v>
      </c>
      <c r="B255" t="s">
        <v>345</v>
      </c>
      <c r="C255" s="1">
        <v>45607</v>
      </c>
      <c r="D255" t="s">
        <v>82</v>
      </c>
      <c r="E255" t="s">
        <v>83</v>
      </c>
      <c r="F255" t="s">
        <v>78</v>
      </c>
      <c r="G255" t="s">
        <v>84</v>
      </c>
      <c r="H255" t="s">
        <v>79</v>
      </c>
      <c r="I255" t="s">
        <v>80</v>
      </c>
      <c r="J255" s="91">
        <v>288.75700000000001</v>
      </c>
      <c r="K255" s="91">
        <v>0.81899999999999995</v>
      </c>
      <c r="L255" t="s">
        <v>713</v>
      </c>
      <c r="M255" t="s">
        <v>612</v>
      </c>
    </row>
    <row r="256" spans="1:13">
      <c r="A256" t="s">
        <v>887</v>
      </c>
      <c r="B256" t="s">
        <v>349</v>
      </c>
      <c r="C256" s="1">
        <v>45607</v>
      </c>
      <c r="D256" t="s">
        <v>68</v>
      </c>
      <c r="E256" t="s">
        <v>69</v>
      </c>
      <c r="F256" t="s">
        <v>43</v>
      </c>
      <c r="G256" t="s">
        <v>37</v>
      </c>
      <c r="H256" t="s">
        <v>70</v>
      </c>
      <c r="I256" t="s">
        <v>71</v>
      </c>
      <c r="J256" s="91">
        <v>172157.23199999999</v>
      </c>
      <c r="K256" s="91">
        <v>620.95699999999999</v>
      </c>
      <c r="L256" t="s">
        <v>707</v>
      </c>
      <c r="M256" t="s">
        <v>612</v>
      </c>
    </row>
    <row r="257" spans="1:13">
      <c r="A257" t="s">
        <v>888</v>
      </c>
      <c r="B257" t="s">
        <v>335</v>
      </c>
      <c r="C257" s="1">
        <v>45620</v>
      </c>
      <c r="D257" t="s">
        <v>47</v>
      </c>
      <c r="E257" t="s">
        <v>48</v>
      </c>
      <c r="F257" t="s">
        <v>49</v>
      </c>
      <c r="G257" t="s">
        <v>50</v>
      </c>
      <c r="H257" t="s">
        <v>51</v>
      </c>
      <c r="I257" t="s">
        <v>52</v>
      </c>
      <c r="J257" s="91">
        <v>157.85499999999999</v>
      </c>
      <c r="K257" s="91">
        <v>0.99199999999999999</v>
      </c>
      <c r="L257" t="s">
        <v>713</v>
      </c>
      <c r="M257" t="s">
        <v>612</v>
      </c>
    </row>
    <row r="258" spans="1:13">
      <c r="A258" t="s">
        <v>889</v>
      </c>
      <c r="B258" t="s">
        <v>344</v>
      </c>
      <c r="C258" s="1">
        <v>45614</v>
      </c>
      <c r="D258" t="s">
        <v>41</v>
      </c>
      <c r="E258" t="s">
        <v>42</v>
      </c>
      <c r="F258" t="s">
        <v>43</v>
      </c>
      <c r="G258" t="s">
        <v>37</v>
      </c>
      <c r="H258" t="s">
        <v>70</v>
      </c>
      <c r="I258" t="s">
        <v>71</v>
      </c>
      <c r="J258" s="91">
        <v>51682.48</v>
      </c>
      <c r="K258" s="91">
        <v>114.014</v>
      </c>
      <c r="L258" t="s">
        <v>724</v>
      </c>
      <c r="M258" t="s">
        <v>612</v>
      </c>
    </row>
    <row r="259" spans="1:13">
      <c r="A259" t="s">
        <v>890</v>
      </c>
      <c r="B259" t="s">
        <v>346</v>
      </c>
      <c r="C259" s="1">
        <v>45619</v>
      </c>
      <c r="D259" t="s">
        <v>54</v>
      </c>
      <c r="E259" t="s">
        <v>55</v>
      </c>
      <c r="F259" t="s">
        <v>49</v>
      </c>
      <c r="G259" t="s">
        <v>56</v>
      </c>
      <c r="H259" t="s">
        <v>57</v>
      </c>
      <c r="I259" t="s">
        <v>58</v>
      </c>
      <c r="J259" s="91">
        <v>25787.67</v>
      </c>
      <c r="K259" s="91">
        <v>22.878</v>
      </c>
      <c r="L259" t="s">
        <v>713</v>
      </c>
      <c r="M259" t="s">
        <v>612</v>
      </c>
    </row>
    <row r="260" spans="1:13">
      <c r="A260" t="s">
        <v>891</v>
      </c>
      <c r="B260" t="s">
        <v>356</v>
      </c>
      <c r="C260" s="1">
        <v>45623</v>
      </c>
      <c r="D260" t="s">
        <v>63</v>
      </c>
      <c r="E260" t="s">
        <v>64</v>
      </c>
      <c r="F260" t="s">
        <v>49</v>
      </c>
      <c r="G260" t="s">
        <v>56</v>
      </c>
      <c r="H260" t="s">
        <v>65</v>
      </c>
      <c r="I260" t="s">
        <v>66</v>
      </c>
      <c r="J260" s="91">
        <v>3438.5990000000002</v>
      </c>
      <c r="K260" s="91">
        <v>0.8</v>
      </c>
      <c r="L260" t="s">
        <v>724</v>
      </c>
      <c r="M260" t="s">
        <v>612</v>
      </c>
    </row>
    <row r="261" spans="1:13">
      <c r="A261" t="s">
        <v>892</v>
      </c>
      <c r="B261" t="s">
        <v>348</v>
      </c>
      <c r="C261" s="1">
        <v>45629</v>
      </c>
      <c r="D261" t="s">
        <v>60</v>
      </c>
      <c r="E261" t="s">
        <v>61</v>
      </c>
      <c r="F261" t="s">
        <v>49</v>
      </c>
      <c r="G261" t="s">
        <v>56</v>
      </c>
      <c r="H261" t="s">
        <v>57</v>
      </c>
      <c r="I261" t="s">
        <v>58</v>
      </c>
      <c r="J261" s="91">
        <v>2297.2429999999999</v>
      </c>
      <c r="K261" s="91">
        <v>1.1779999999999999</v>
      </c>
      <c r="L261" t="s">
        <v>705</v>
      </c>
      <c r="M261" t="s">
        <v>612</v>
      </c>
    </row>
    <row r="262" spans="1:13">
      <c r="A262" t="s">
        <v>893</v>
      </c>
      <c r="B262" t="s">
        <v>350</v>
      </c>
      <c r="C262" s="1">
        <v>45634</v>
      </c>
      <c r="D262" t="s">
        <v>117</v>
      </c>
      <c r="E262" t="s">
        <v>118</v>
      </c>
      <c r="F262" t="s">
        <v>119</v>
      </c>
      <c r="G262" t="s">
        <v>120</v>
      </c>
      <c r="H262" t="s">
        <v>121</v>
      </c>
      <c r="I262" t="s">
        <v>122</v>
      </c>
      <c r="J262" s="91">
        <v>14279404.895</v>
      </c>
      <c r="K262" s="91">
        <v>36299.232000000004</v>
      </c>
      <c r="L262" t="s">
        <v>705</v>
      </c>
      <c r="M262" t="s">
        <v>612</v>
      </c>
    </row>
    <row r="263" spans="1:13">
      <c r="A263" t="s">
        <v>894</v>
      </c>
      <c r="B263" t="s">
        <v>351</v>
      </c>
      <c r="C263" s="1">
        <v>45633</v>
      </c>
      <c r="D263" t="s">
        <v>124</v>
      </c>
      <c r="E263" t="s">
        <v>125</v>
      </c>
      <c r="F263" t="s">
        <v>119</v>
      </c>
      <c r="G263" t="s">
        <v>126</v>
      </c>
      <c r="H263" t="s">
        <v>121</v>
      </c>
      <c r="I263" t="s">
        <v>122</v>
      </c>
      <c r="J263" s="91">
        <v>8329652.8550000004</v>
      </c>
      <c r="K263" s="91">
        <v>8224.0529999999999</v>
      </c>
      <c r="L263" t="s">
        <v>705</v>
      </c>
      <c r="M263" t="s">
        <v>612</v>
      </c>
    </row>
    <row r="264" spans="1:13">
      <c r="A264" t="s">
        <v>895</v>
      </c>
      <c r="B264" t="s">
        <v>347</v>
      </c>
      <c r="C264" s="1">
        <v>45639</v>
      </c>
      <c r="D264" t="s">
        <v>134</v>
      </c>
      <c r="E264" t="s">
        <v>135</v>
      </c>
      <c r="F264" t="s">
        <v>136</v>
      </c>
      <c r="G264" t="s">
        <v>101</v>
      </c>
      <c r="H264" t="s">
        <v>137</v>
      </c>
      <c r="I264" t="s">
        <v>138</v>
      </c>
      <c r="J264" s="91">
        <v>71945.53</v>
      </c>
      <c r="K264" s="91">
        <v>22.888999999999999</v>
      </c>
      <c r="L264" t="s">
        <v>709</v>
      </c>
      <c r="M264" t="s">
        <v>612</v>
      </c>
    </row>
    <row r="265" spans="1:13">
      <c r="A265" t="s">
        <v>896</v>
      </c>
      <c r="B265" t="s">
        <v>360</v>
      </c>
      <c r="C265" s="1">
        <v>45636</v>
      </c>
      <c r="D265" t="s">
        <v>73</v>
      </c>
      <c r="E265" t="s">
        <v>74</v>
      </c>
      <c r="F265" t="s">
        <v>43</v>
      </c>
      <c r="G265" t="s">
        <v>37</v>
      </c>
      <c r="H265" t="s">
        <v>70</v>
      </c>
      <c r="I265" t="s">
        <v>71</v>
      </c>
      <c r="J265" s="91">
        <v>71474.005999999994</v>
      </c>
      <c r="K265" s="91">
        <v>110.90300000000001</v>
      </c>
      <c r="L265" t="s">
        <v>713</v>
      </c>
      <c r="M265" t="s">
        <v>612</v>
      </c>
    </row>
    <row r="266" spans="1:13">
      <c r="A266" t="s">
        <v>897</v>
      </c>
      <c r="B266" t="s">
        <v>366</v>
      </c>
      <c r="C266" s="1">
        <v>45636</v>
      </c>
      <c r="D266" t="s">
        <v>41</v>
      </c>
      <c r="E266" t="s">
        <v>42</v>
      </c>
      <c r="F266" t="s">
        <v>43</v>
      </c>
      <c r="G266" t="s">
        <v>37</v>
      </c>
      <c r="H266" t="s">
        <v>70</v>
      </c>
      <c r="I266" t="s">
        <v>71</v>
      </c>
      <c r="J266" s="91">
        <v>51504.014000000003</v>
      </c>
      <c r="K266" s="91">
        <v>22.37</v>
      </c>
      <c r="L266" t="s">
        <v>705</v>
      </c>
      <c r="M266" t="s">
        <v>612</v>
      </c>
    </row>
    <row r="267" spans="1:13">
      <c r="A267" t="s">
        <v>898</v>
      </c>
      <c r="B267" t="s">
        <v>373</v>
      </c>
      <c r="C267" s="1">
        <v>45635</v>
      </c>
      <c r="D267" t="s">
        <v>140</v>
      </c>
      <c r="E267" t="s">
        <v>141</v>
      </c>
      <c r="F267" t="s">
        <v>142</v>
      </c>
      <c r="G267" t="s">
        <v>84</v>
      </c>
      <c r="H267" t="s">
        <v>143</v>
      </c>
      <c r="I267" t="s">
        <v>144</v>
      </c>
      <c r="J267" s="91">
        <v>23044660.041999999</v>
      </c>
      <c r="K267" s="91">
        <v>11196.992</v>
      </c>
      <c r="L267" t="s">
        <v>713</v>
      </c>
      <c r="M267" t="s">
        <v>612</v>
      </c>
    </row>
    <row r="268" spans="1:13">
      <c r="A268" t="s">
        <v>899</v>
      </c>
      <c r="B268" t="s">
        <v>338</v>
      </c>
      <c r="C268" s="1">
        <v>45644</v>
      </c>
      <c r="D268" t="s">
        <v>111</v>
      </c>
      <c r="E268" t="s">
        <v>112</v>
      </c>
      <c r="F268" t="s">
        <v>113</v>
      </c>
      <c r="G268" t="s">
        <v>84</v>
      </c>
      <c r="H268" t="s">
        <v>114</v>
      </c>
      <c r="I268" t="s">
        <v>115</v>
      </c>
      <c r="J268" s="91">
        <v>24225660.649</v>
      </c>
      <c r="K268" s="91">
        <v>65452.951999999997</v>
      </c>
      <c r="L268" t="s">
        <v>724</v>
      </c>
      <c r="M268" t="s">
        <v>612</v>
      </c>
    </row>
    <row r="269" spans="1:13">
      <c r="A269" t="s">
        <v>900</v>
      </c>
      <c r="B269" t="s">
        <v>342</v>
      </c>
      <c r="C269" s="1">
        <v>45645</v>
      </c>
      <c r="D269" t="s">
        <v>92</v>
      </c>
      <c r="E269" t="s">
        <v>93</v>
      </c>
      <c r="F269" t="s">
        <v>94</v>
      </c>
      <c r="G269" t="s">
        <v>56</v>
      </c>
      <c r="H269" t="s">
        <v>95</v>
      </c>
      <c r="I269" t="s">
        <v>96</v>
      </c>
      <c r="J269" s="91">
        <v>115.002</v>
      </c>
      <c r="K269" s="91">
        <v>5.5E-2</v>
      </c>
      <c r="L269" t="s">
        <v>724</v>
      </c>
      <c r="M269" t="s">
        <v>612</v>
      </c>
    </row>
    <row r="270" spans="1:13">
      <c r="A270" t="s">
        <v>901</v>
      </c>
      <c r="B270" t="s">
        <v>354</v>
      </c>
      <c r="C270" s="1">
        <v>45642</v>
      </c>
      <c r="D270" t="s">
        <v>26</v>
      </c>
      <c r="E270" t="s">
        <v>27</v>
      </c>
      <c r="F270" t="s">
        <v>28</v>
      </c>
      <c r="G270" t="s">
        <v>29</v>
      </c>
      <c r="H270" t="s">
        <v>30</v>
      </c>
      <c r="I270" t="s">
        <v>31</v>
      </c>
      <c r="J270" s="91">
        <v>28651.581999999999</v>
      </c>
      <c r="K270" s="91">
        <v>2.919</v>
      </c>
      <c r="L270" t="s">
        <v>724</v>
      </c>
      <c r="M270" t="s">
        <v>612</v>
      </c>
    </row>
    <row r="271" spans="1:13">
      <c r="A271" t="s">
        <v>902</v>
      </c>
      <c r="B271" t="s">
        <v>361</v>
      </c>
      <c r="C271" s="1">
        <v>45643</v>
      </c>
      <c r="D271" t="s">
        <v>76</v>
      </c>
      <c r="E271" t="s">
        <v>77</v>
      </c>
      <c r="F271" t="s">
        <v>78</v>
      </c>
      <c r="G271" t="s">
        <v>37</v>
      </c>
      <c r="H271" t="s">
        <v>79</v>
      </c>
      <c r="I271" t="s">
        <v>80</v>
      </c>
      <c r="J271" s="91">
        <v>17211.866999999998</v>
      </c>
      <c r="K271" s="91">
        <v>33.091000000000001</v>
      </c>
      <c r="L271" t="s">
        <v>709</v>
      </c>
      <c r="M271" t="s">
        <v>612</v>
      </c>
    </row>
    <row r="272" spans="1:13">
      <c r="A272" t="s">
        <v>903</v>
      </c>
      <c r="B272" t="s">
        <v>904</v>
      </c>
      <c r="C272" s="1">
        <v>45651</v>
      </c>
      <c r="D272" t="s">
        <v>34</v>
      </c>
      <c r="E272" t="s">
        <v>35</v>
      </c>
      <c r="F272" t="s">
        <v>36</v>
      </c>
      <c r="G272" t="s">
        <v>37</v>
      </c>
      <c r="H272" t="s">
        <v>38</v>
      </c>
      <c r="I272" t="s">
        <v>39</v>
      </c>
      <c r="J272" s="91">
        <v>555.06200000000001</v>
      </c>
      <c r="K272" s="91">
        <v>0.42199999999999999</v>
      </c>
      <c r="L272" t="s">
        <v>705</v>
      </c>
      <c r="M272" t="s">
        <v>612</v>
      </c>
    </row>
    <row r="273" spans="1:13">
      <c r="A273" t="s">
        <v>905</v>
      </c>
      <c r="B273" t="s">
        <v>343</v>
      </c>
      <c r="C273" s="1">
        <v>45652</v>
      </c>
      <c r="D273" t="s">
        <v>34</v>
      </c>
      <c r="E273" t="s">
        <v>35</v>
      </c>
      <c r="F273" t="s">
        <v>36</v>
      </c>
      <c r="G273" t="s">
        <v>37</v>
      </c>
      <c r="H273" t="s">
        <v>38</v>
      </c>
      <c r="I273" t="s">
        <v>39</v>
      </c>
      <c r="J273" s="91">
        <v>402.17899999999997</v>
      </c>
      <c r="K273" s="91">
        <v>0.90400000000000003</v>
      </c>
      <c r="L273" t="s">
        <v>713</v>
      </c>
      <c r="M273" t="s">
        <v>612</v>
      </c>
    </row>
    <row r="274" spans="1:13">
      <c r="A274" t="s">
        <v>906</v>
      </c>
      <c r="B274" t="s">
        <v>367</v>
      </c>
      <c r="C274" s="1">
        <v>45650</v>
      </c>
      <c r="D274" t="s">
        <v>82</v>
      </c>
      <c r="E274" t="s">
        <v>83</v>
      </c>
      <c r="F274" t="s">
        <v>78</v>
      </c>
      <c r="G274" t="s">
        <v>84</v>
      </c>
      <c r="H274" t="s">
        <v>79</v>
      </c>
      <c r="I274" t="s">
        <v>80</v>
      </c>
      <c r="J274" s="91">
        <v>343.41899999999998</v>
      </c>
      <c r="K274" s="91">
        <v>0.215</v>
      </c>
      <c r="L274" t="s">
        <v>705</v>
      </c>
      <c r="M274" t="s">
        <v>612</v>
      </c>
    </row>
    <row r="275" spans="1:13">
      <c r="A275" t="s">
        <v>907</v>
      </c>
      <c r="B275" t="s">
        <v>376</v>
      </c>
      <c r="C275" s="1">
        <v>45655</v>
      </c>
      <c r="D275" t="s">
        <v>68</v>
      </c>
      <c r="E275" t="s">
        <v>69</v>
      </c>
      <c r="F275" t="s">
        <v>43</v>
      </c>
      <c r="G275" t="s">
        <v>37</v>
      </c>
      <c r="H275" t="s">
        <v>44</v>
      </c>
      <c r="I275" t="s">
        <v>45</v>
      </c>
      <c r="J275" s="91">
        <v>172520.95699999999</v>
      </c>
      <c r="K275" s="91">
        <v>28.058</v>
      </c>
      <c r="L275" t="s">
        <v>705</v>
      </c>
      <c r="M275" t="s">
        <v>612</v>
      </c>
    </row>
    <row r="276" spans="1:13">
      <c r="A276" t="s">
        <v>908</v>
      </c>
      <c r="B276" t="s">
        <v>371</v>
      </c>
      <c r="C276" s="1">
        <v>45658</v>
      </c>
      <c r="D276" t="s">
        <v>117</v>
      </c>
      <c r="E276" t="s">
        <v>118</v>
      </c>
      <c r="F276" t="s">
        <v>119</v>
      </c>
      <c r="G276" t="s">
        <v>120</v>
      </c>
      <c r="H276" t="s">
        <v>121</v>
      </c>
      <c r="I276" t="s">
        <v>122</v>
      </c>
      <c r="J276" s="91">
        <v>13790948.140000001</v>
      </c>
      <c r="K276" s="91">
        <v>10556.99</v>
      </c>
      <c r="L276" t="s">
        <v>713</v>
      </c>
      <c r="M276" t="s">
        <v>613</v>
      </c>
    </row>
    <row r="277" spans="1:13">
      <c r="A277" t="s">
        <v>909</v>
      </c>
      <c r="B277" t="s">
        <v>372</v>
      </c>
      <c r="C277" s="1">
        <v>45661</v>
      </c>
      <c r="D277" t="s">
        <v>124</v>
      </c>
      <c r="E277" t="s">
        <v>125</v>
      </c>
      <c r="F277" t="s">
        <v>119</v>
      </c>
      <c r="G277" t="s">
        <v>126</v>
      </c>
      <c r="H277" t="s">
        <v>121</v>
      </c>
      <c r="I277" t="s">
        <v>122</v>
      </c>
      <c r="J277" s="91">
        <v>8053176.3090000004</v>
      </c>
      <c r="K277" s="91">
        <v>1710.65</v>
      </c>
      <c r="L277" t="s">
        <v>713</v>
      </c>
      <c r="M277" t="s">
        <v>613</v>
      </c>
    </row>
    <row r="278" spans="1:13">
      <c r="A278" t="s">
        <v>910</v>
      </c>
      <c r="B278" t="s">
        <v>355</v>
      </c>
      <c r="C278" s="1">
        <v>45665</v>
      </c>
      <c r="D278" t="s">
        <v>47</v>
      </c>
      <c r="E278" t="s">
        <v>48</v>
      </c>
      <c r="F278" t="s">
        <v>49</v>
      </c>
      <c r="G278" t="s">
        <v>50</v>
      </c>
      <c r="H278" t="s">
        <v>51</v>
      </c>
      <c r="I278" t="s">
        <v>52</v>
      </c>
      <c r="J278" s="91">
        <v>146.63</v>
      </c>
      <c r="K278" s="91">
        <v>9.2999999999999999E-2</v>
      </c>
      <c r="L278" t="s">
        <v>724</v>
      </c>
      <c r="M278" t="s">
        <v>613</v>
      </c>
    </row>
    <row r="279" spans="1:13">
      <c r="A279" t="s">
        <v>911</v>
      </c>
      <c r="B279" t="s">
        <v>368</v>
      </c>
      <c r="C279" s="1">
        <v>45669</v>
      </c>
      <c r="D279" t="s">
        <v>134</v>
      </c>
      <c r="E279" t="s">
        <v>135</v>
      </c>
      <c r="F279" t="s">
        <v>136</v>
      </c>
      <c r="G279" t="s">
        <v>101</v>
      </c>
      <c r="H279" t="s">
        <v>137</v>
      </c>
      <c r="I279" t="s">
        <v>138</v>
      </c>
      <c r="J279" s="91">
        <v>69905.188999999998</v>
      </c>
      <c r="K279" s="91">
        <v>36.494999999999997</v>
      </c>
      <c r="L279" t="s">
        <v>707</v>
      </c>
      <c r="M279" t="s">
        <v>613</v>
      </c>
    </row>
    <row r="280" spans="1:13">
      <c r="A280" t="s">
        <v>912</v>
      </c>
      <c r="B280" t="s">
        <v>369</v>
      </c>
      <c r="C280" s="1">
        <v>45667</v>
      </c>
      <c r="D280" t="s">
        <v>54</v>
      </c>
      <c r="E280" t="s">
        <v>55</v>
      </c>
      <c r="F280" t="s">
        <v>49</v>
      </c>
      <c r="G280" t="s">
        <v>56</v>
      </c>
      <c r="H280" t="s">
        <v>65</v>
      </c>
      <c r="I280" t="s">
        <v>66</v>
      </c>
      <c r="J280" s="91">
        <v>25807.878000000001</v>
      </c>
      <c r="K280" s="91">
        <v>10.260999999999999</v>
      </c>
      <c r="L280" t="s">
        <v>709</v>
      </c>
      <c r="M280" t="s">
        <v>613</v>
      </c>
    </row>
    <row r="281" spans="1:13">
      <c r="A281" t="s">
        <v>913</v>
      </c>
      <c r="B281" t="s">
        <v>380</v>
      </c>
      <c r="C281" s="1">
        <v>45665</v>
      </c>
      <c r="D281" t="s">
        <v>63</v>
      </c>
      <c r="E281" t="s">
        <v>64</v>
      </c>
      <c r="F281" t="s">
        <v>49</v>
      </c>
      <c r="G281" t="s">
        <v>56</v>
      </c>
      <c r="H281" t="s">
        <v>65</v>
      </c>
      <c r="I281" t="s">
        <v>66</v>
      </c>
      <c r="J281" s="91">
        <v>2823.4450000000002</v>
      </c>
      <c r="K281" s="91">
        <v>0.108</v>
      </c>
      <c r="L281" t="s">
        <v>709</v>
      </c>
      <c r="M281" t="s">
        <v>613</v>
      </c>
    </row>
    <row r="282" spans="1:13">
      <c r="A282" t="s">
        <v>914</v>
      </c>
      <c r="B282" t="s">
        <v>358</v>
      </c>
      <c r="C282" s="1">
        <v>45672</v>
      </c>
      <c r="D282" t="s">
        <v>111</v>
      </c>
      <c r="E282" t="s">
        <v>112</v>
      </c>
      <c r="F282" t="s">
        <v>113</v>
      </c>
      <c r="G282" t="s">
        <v>84</v>
      </c>
      <c r="H282" t="s">
        <v>114</v>
      </c>
      <c r="I282" t="s">
        <v>115</v>
      </c>
      <c r="J282" s="91">
        <v>23593267.32</v>
      </c>
      <c r="K282" s="91">
        <v>40309.067999999999</v>
      </c>
      <c r="L282" t="s">
        <v>707</v>
      </c>
      <c r="M282" t="s">
        <v>613</v>
      </c>
    </row>
    <row r="283" spans="1:13">
      <c r="A283" t="s">
        <v>915</v>
      </c>
      <c r="B283" t="s">
        <v>375</v>
      </c>
      <c r="C283" s="1">
        <v>45670</v>
      </c>
      <c r="D283" t="s">
        <v>60</v>
      </c>
      <c r="E283" t="s">
        <v>61</v>
      </c>
      <c r="F283" t="s">
        <v>49</v>
      </c>
      <c r="G283" t="s">
        <v>56</v>
      </c>
      <c r="H283" t="s">
        <v>57</v>
      </c>
      <c r="I283" t="s">
        <v>58</v>
      </c>
      <c r="J283" s="91">
        <v>2293.1779999999999</v>
      </c>
      <c r="K283" s="91">
        <v>3.1150000000000002</v>
      </c>
      <c r="L283" t="s">
        <v>705</v>
      </c>
      <c r="M283" t="s">
        <v>613</v>
      </c>
    </row>
    <row r="284" spans="1:13">
      <c r="A284" t="s">
        <v>916</v>
      </c>
      <c r="B284" t="s">
        <v>362</v>
      </c>
      <c r="C284" s="1">
        <v>45680</v>
      </c>
      <c r="D284" t="s">
        <v>92</v>
      </c>
      <c r="E284" t="s">
        <v>93</v>
      </c>
      <c r="F284" t="s">
        <v>94</v>
      </c>
      <c r="G284" t="s">
        <v>56</v>
      </c>
      <c r="H284" t="s">
        <v>95</v>
      </c>
      <c r="I284" t="s">
        <v>96</v>
      </c>
      <c r="J284" s="91">
        <v>114.35899999999999</v>
      </c>
      <c r="K284" s="91">
        <v>4.5999999999999999E-2</v>
      </c>
      <c r="L284" t="s">
        <v>705</v>
      </c>
      <c r="M284" t="s">
        <v>613</v>
      </c>
    </row>
    <row r="285" spans="1:13">
      <c r="A285" t="s">
        <v>917</v>
      </c>
      <c r="B285" t="s">
        <v>374</v>
      </c>
      <c r="C285" s="1">
        <v>45682</v>
      </c>
      <c r="D285" t="s">
        <v>47</v>
      </c>
      <c r="E285" t="s">
        <v>48</v>
      </c>
      <c r="F285" t="s">
        <v>49</v>
      </c>
      <c r="G285" t="s">
        <v>50</v>
      </c>
      <c r="H285" t="s">
        <v>51</v>
      </c>
      <c r="I285" t="s">
        <v>52</v>
      </c>
      <c r="J285" s="91">
        <v>144.24199999999999</v>
      </c>
      <c r="K285" s="91">
        <v>0.108</v>
      </c>
      <c r="L285" t="s">
        <v>705</v>
      </c>
      <c r="M285" t="s">
        <v>613</v>
      </c>
    </row>
    <row r="286" spans="1:13">
      <c r="A286" t="s">
        <v>918</v>
      </c>
      <c r="B286" t="s">
        <v>379</v>
      </c>
      <c r="C286" s="1">
        <v>45678</v>
      </c>
      <c r="D286" t="s">
        <v>26</v>
      </c>
      <c r="E286" t="s">
        <v>27</v>
      </c>
      <c r="F286" t="s">
        <v>28</v>
      </c>
      <c r="G286" t="s">
        <v>29</v>
      </c>
      <c r="H286" t="s">
        <v>149</v>
      </c>
      <c r="I286" t="s">
        <v>150</v>
      </c>
      <c r="J286" s="91">
        <v>28650</v>
      </c>
      <c r="K286" s="91">
        <v>9.9909999999999997</v>
      </c>
      <c r="L286" t="s">
        <v>709</v>
      </c>
      <c r="M286" t="s">
        <v>613</v>
      </c>
    </row>
    <row r="287" spans="1:13">
      <c r="A287" t="s">
        <v>919</v>
      </c>
      <c r="B287" t="s">
        <v>384</v>
      </c>
      <c r="C287" s="1">
        <v>45677</v>
      </c>
      <c r="D287" t="s">
        <v>73</v>
      </c>
      <c r="E287" t="s">
        <v>74</v>
      </c>
      <c r="F287" t="s">
        <v>43</v>
      </c>
      <c r="G287" t="s">
        <v>37</v>
      </c>
      <c r="H287" t="s">
        <v>70</v>
      </c>
      <c r="I287" t="s">
        <v>71</v>
      </c>
      <c r="J287" s="91">
        <v>56235.983</v>
      </c>
      <c r="K287" s="91">
        <v>32.337000000000003</v>
      </c>
      <c r="L287" t="s">
        <v>724</v>
      </c>
      <c r="M287" t="s">
        <v>613</v>
      </c>
    </row>
    <row r="288" spans="1:13">
      <c r="A288" t="s">
        <v>920</v>
      </c>
      <c r="B288" t="s">
        <v>364</v>
      </c>
      <c r="C288" s="1">
        <v>45687</v>
      </c>
      <c r="D288" t="s">
        <v>34</v>
      </c>
      <c r="E288" t="s">
        <v>35</v>
      </c>
      <c r="F288" t="s">
        <v>36</v>
      </c>
      <c r="G288" t="s">
        <v>37</v>
      </c>
      <c r="H288" t="s">
        <v>38</v>
      </c>
      <c r="I288" t="s">
        <v>39</v>
      </c>
      <c r="J288" s="91">
        <v>5712</v>
      </c>
      <c r="K288" s="91">
        <v>1.2190000000000001</v>
      </c>
      <c r="L288" t="s">
        <v>707</v>
      </c>
      <c r="M288" t="s">
        <v>613</v>
      </c>
    </row>
    <row r="289" spans="1:13">
      <c r="A289" t="s">
        <v>921</v>
      </c>
      <c r="B289" t="s">
        <v>395</v>
      </c>
      <c r="C289" s="1">
        <v>45686</v>
      </c>
      <c r="D289" t="s">
        <v>140</v>
      </c>
      <c r="E289" t="s">
        <v>141</v>
      </c>
      <c r="F289" t="s">
        <v>142</v>
      </c>
      <c r="G289" t="s">
        <v>84</v>
      </c>
      <c r="H289" t="s">
        <v>143</v>
      </c>
      <c r="I289" t="s">
        <v>144</v>
      </c>
      <c r="J289" s="91">
        <v>20946569.414999999</v>
      </c>
      <c r="K289" s="91">
        <v>1835.886</v>
      </c>
      <c r="L289" t="s">
        <v>709</v>
      </c>
      <c r="M289" t="s">
        <v>613</v>
      </c>
    </row>
    <row r="290" spans="1:13">
      <c r="A290" t="s">
        <v>922</v>
      </c>
      <c r="B290" t="s">
        <v>923</v>
      </c>
      <c r="C290" s="1">
        <v>45694</v>
      </c>
      <c r="D290" t="s">
        <v>34</v>
      </c>
      <c r="E290" t="s">
        <v>35</v>
      </c>
      <c r="F290" t="s">
        <v>36</v>
      </c>
      <c r="G290" t="s">
        <v>37</v>
      </c>
      <c r="H290" t="s">
        <v>38</v>
      </c>
      <c r="I290" t="s">
        <v>39</v>
      </c>
      <c r="J290" s="91">
        <v>603.26900000000001</v>
      </c>
      <c r="K290" s="91">
        <v>0.54500000000000004</v>
      </c>
      <c r="L290" t="s">
        <v>709</v>
      </c>
      <c r="M290" t="s">
        <v>613</v>
      </c>
    </row>
    <row r="291" spans="1:13">
      <c r="A291" t="s">
        <v>924</v>
      </c>
      <c r="B291" t="s">
        <v>390</v>
      </c>
      <c r="C291" s="1">
        <v>45691</v>
      </c>
      <c r="D291" t="s">
        <v>41</v>
      </c>
      <c r="E291" t="s">
        <v>42</v>
      </c>
      <c r="F291" t="s">
        <v>43</v>
      </c>
      <c r="G291" t="s">
        <v>37</v>
      </c>
      <c r="H291" t="s">
        <v>44</v>
      </c>
      <c r="I291" t="s">
        <v>45</v>
      </c>
      <c r="J291" s="91">
        <v>40792.370000000003</v>
      </c>
      <c r="K291" s="91">
        <v>3.9529999999999998</v>
      </c>
      <c r="L291" t="s">
        <v>709</v>
      </c>
      <c r="M291" t="s">
        <v>613</v>
      </c>
    </row>
    <row r="292" spans="1:13">
      <c r="A292" t="s">
        <v>925</v>
      </c>
      <c r="B292" t="s">
        <v>386</v>
      </c>
      <c r="C292" s="1">
        <v>45700</v>
      </c>
      <c r="D292" t="s">
        <v>76</v>
      </c>
      <c r="E292" t="s">
        <v>77</v>
      </c>
      <c r="F292" t="s">
        <v>78</v>
      </c>
      <c r="G292" t="s">
        <v>37</v>
      </c>
      <c r="H292" t="s">
        <v>79</v>
      </c>
      <c r="I292" t="s">
        <v>80</v>
      </c>
      <c r="J292" s="91">
        <v>13593.091</v>
      </c>
      <c r="K292" s="91">
        <v>9.9480000000000004</v>
      </c>
      <c r="L292" t="s">
        <v>705</v>
      </c>
      <c r="M292" t="s">
        <v>613</v>
      </c>
    </row>
    <row r="293" spans="1:13">
      <c r="A293" t="s">
        <v>926</v>
      </c>
      <c r="B293" t="s">
        <v>391</v>
      </c>
      <c r="C293" s="1">
        <v>45705</v>
      </c>
      <c r="D293" t="s">
        <v>82</v>
      </c>
      <c r="E293" t="s">
        <v>83</v>
      </c>
      <c r="F293" t="s">
        <v>78</v>
      </c>
      <c r="G293" t="s">
        <v>84</v>
      </c>
      <c r="H293" t="s">
        <v>79</v>
      </c>
      <c r="I293" t="s">
        <v>80</v>
      </c>
      <c r="J293" s="91">
        <v>272.01499999999999</v>
      </c>
      <c r="K293" s="91">
        <v>1.7999999999999999E-2</v>
      </c>
      <c r="L293" t="s">
        <v>713</v>
      </c>
      <c r="M293" t="s">
        <v>613</v>
      </c>
    </row>
    <row r="294" spans="1:13">
      <c r="A294" t="s">
        <v>927</v>
      </c>
      <c r="B294" t="s">
        <v>393</v>
      </c>
      <c r="C294" s="1">
        <v>45705</v>
      </c>
      <c r="D294" t="s">
        <v>117</v>
      </c>
      <c r="E294" t="s">
        <v>118</v>
      </c>
      <c r="F294" t="s">
        <v>119</v>
      </c>
      <c r="G294" t="s">
        <v>120</v>
      </c>
      <c r="H294" t="s">
        <v>121</v>
      </c>
      <c r="I294" t="s">
        <v>122</v>
      </c>
      <c r="J294" s="91">
        <v>12573336.289999999</v>
      </c>
      <c r="K294" s="91">
        <v>10555.715</v>
      </c>
      <c r="L294" t="s">
        <v>705</v>
      </c>
      <c r="M294" t="s">
        <v>613</v>
      </c>
    </row>
    <row r="295" spans="1:13">
      <c r="A295" t="s">
        <v>928</v>
      </c>
      <c r="B295" t="s">
        <v>394</v>
      </c>
      <c r="C295" s="1">
        <v>45709</v>
      </c>
      <c r="D295" t="s">
        <v>124</v>
      </c>
      <c r="E295" t="s">
        <v>125</v>
      </c>
      <c r="F295" t="s">
        <v>119</v>
      </c>
      <c r="G295" t="s">
        <v>126</v>
      </c>
      <c r="H295" t="s">
        <v>121</v>
      </c>
      <c r="I295" t="s">
        <v>122</v>
      </c>
      <c r="J295" s="91">
        <v>7317048.0769999996</v>
      </c>
      <c r="K295" s="91">
        <v>1297.5039999999999</v>
      </c>
      <c r="L295" t="s">
        <v>713</v>
      </c>
      <c r="M295" t="s">
        <v>613</v>
      </c>
    </row>
    <row r="296" spans="1:13">
      <c r="A296" t="s">
        <v>929</v>
      </c>
      <c r="B296" t="s">
        <v>400</v>
      </c>
      <c r="C296" s="1">
        <v>45708</v>
      </c>
      <c r="D296" t="s">
        <v>68</v>
      </c>
      <c r="E296" t="s">
        <v>69</v>
      </c>
      <c r="F296" t="s">
        <v>43</v>
      </c>
      <c r="G296" t="s">
        <v>37</v>
      </c>
      <c r="H296" t="s">
        <v>44</v>
      </c>
      <c r="I296" t="s">
        <v>45</v>
      </c>
      <c r="J296" s="91">
        <v>135928.05799999999</v>
      </c>
      <c r="K296" s="91">
        <v>7.327</v>
      </c>
      <c r="L296" t="s">
        <v>705</v>
      </c>
      <c r="M296" t="s">
        <v>613</v>
      </c>
    </row>
    <row r="297" spans="1:13">
      <c r="A297" t="s">
        <v>930</v>
      </c>
      <c r="B297" t="s">
        <v>377</v>
      </c>
      <c r="C297" s="1">
        <v>45713</v>
      </c>
      <c r="D297" t="s">
        <v>111</v>
      </c>
      <c r="E297" t="s">
        <v>112</v>
      </c>
      <c r="F297" t="s">
        <v>113</v>
      </c>
      <c r="G297" t="s">
        <v>84</v>
      </c>
      <c r="H297" t="s">
        <v>114</v>
      </c>
      <c r="I297" t="s">
        <v>115</v>
      </c>
      <c r="J297" s="91">
        <v>23309197.57</v>
      </c>
      <c r="K297" s="91">
        <v>83172.762000000002</v>
      </c>
      <c r="L297" t="s">
        <v>707</v>
      </c>
      <c r="M297" t="s">
        <v>613</v>
      </c>
    </row>
    <row r="298" spans="1:13">
      <c r="A298" t="s">
        <v>931</v>
      </c>
      <c r="B298" t="s">
        <v>399</v>
      </c>
      <c r="C298" s="1">
        <v>45715</v>
      </c>
      <c r="D298" t="s">
        <v>63</v>
      </c>
      <c r="E298" t="s">
        <v>64</v>
      </c>
      <c r="F298" t="s">
        <v>49</v>
      </c>
      <c r="G298" t="s">
        <v>56</v>
      </c>
      <c r="H298" t="s">
        <v>65</v>
      </c>
      <c r="I298" t="s">
        <v>66</v>
      </c>
      <c r="J298" s="91">
        <v>2760.4630000000002</v>
      </c>
      <c r="K298" s="91">
        <v>0.223</v>
      </c>
      <c r="L298" t="s">
        <v>713</v>
      </c>
      <c r="M298" t="s">
        <v>613</v>
      </c>
    </row>
    <row r="299" spans="1:13">
      <c r="A299" t="s">
        <v>932</v>
      </c>
      <c r="B299" t="s">
        <v>404</v>
      </c>
      <c r="C299" s="1">
        <v>45713</v>
      </c>
      <c r="D299" t="s">
        <v>73</v>
      </c>
      <c r="E299" t="s">
        <v>74</v>
      </c>
      <c r="F299" t="s">
        <v>43</v>
      </c>
      <c r="G299" t="s">
        <v>37</v>
      </c>
      <c r="H299" t="s">
        <v>70</v>
      </c>
      <c r="I299" t="s">
        <v>71</v>
      </c>
      <c r="J299" s="91">
        <v>59969.837</v>
      </c>
      <c r="K299" s="91">
        <v>26.206</v>
      </c>
      <c r="L299" t="s">
        <v>713</v>
      </c>
      <c r="M299" t="s">
        <v>613</v>
      </c>
    </row>
    <row r="300" spans="1:13">
      <c r="A300" t="s">
        <v>933</v>
      </c>
      <c r="B300" t="s">
        <v>409</v>
      </c>
      <c r="C300" s="1">
        <v>45718</v>
      </c>
      <c r="D300" t="s">
        <v>41</v>
      </c>
      <c r="E300" t="s">
        <v>42</v>
      </c>
      <c r="F300" t="s">
        <v>43</v>
      </c>
      <c r="G300" t="s">
        <v>37</v>
      </c>
      <c r="H300" t="s">
        <v>44</v>
      </c>
      <c r="I300" t="s">
        <v>45</v>
      </c>
      <c r="J300" s="91">
        <v>34563.953000000001</v>
      </c>
      <c r="K300" s="91">
        <v>2.99</v>
      </c>
      <c r="L300" t="s">
        <v>705</v>
      </c>
      <c r="M300" t="s">
        <v>613</v>
      </c>
    </row>
    <row r="301" spans="1:13">
      <c r="A301" t="s">
        <v>934</v>
      </c>
      <c r="B301" t="s">
        <v>415</v>
      </c>
      <c r="C301" s="1">
        <v>45717</v>
      </c>
      <c r="D301" t="s">
        <v>140</v>
      </c>
      <c r="E301" t="s">
        <v>141</v>
      </c>
      <c r="F301" t="s">
        <v>142</v>
      </c>
      <c r="G301" t="s">
        <v>84</v>
      </c>
      <c r="H301" t="s">
        <v>143</v>
      </c>
      <c r="I301" t="s">
        <v>144</v>
      </c>
      <c r="J301" s="91">
        <v>18776952.888</v>
      </c>
      <c r="K301" s="91">
        <v>1084.0809999999999</v>
      </c>
      <c r="L301" t="s">
        <v>713</v>
      </c>
      <c r="M301" t="s">
        <v>613</v>
      </c>
    </row>
    <row r="302" spans="1:13">
      <c r="A302" t="s">
        <v>935</v>
      </c>
      <c r="B302" t="s">
        <v>385</v>
      </c>
      <c r="C302" s="1">
        <v>45720</v>
      </c>
      <c r="D302" t="s">
        <v>47</v>
      </c>
      <c r="E302" t="s">
        <v>48</v>
      </c>
      <c r="F302" t="s">
        <v>49</v>
      </c>
      <c r="G302" t="s">
        <v>50</v>
      </c>
      <c r="H302" t="s">
        <v>51</v>
      </c>
      <c r="I302" t="s">
        <v>52</v>
      </c>
      <c r="J302" s="91">
        <v>121.009</v>
      </c>
      <c r="K302" s="91">
        <v>4.1000000000000002E-2</v>
      </c>
      <c r="L302" t="s">
        <v>705</v>
      </c>
      <c r="M302" t="s">
        <v>613</v>
      </c>
    </row>
    <row r="303" spans="1:13">
      <c r="A303" t="s">
        <v>936</v>
      </c>
      <c r="B303" t="s">
        <v>389</v>
      </c>
      <c r="C303" s="1">
        <v>45721</v>
      </c>
      <c r="D303" t="s">
        <v>134</v>
      </c>
      <c r="E303" t="s">
        <v>135</v>
      </c>
      <c r="F303" t="s">
        <v>136</v>
      </c>
      <c r="G303" t="s">
        <v>101</v>
      </c>
      <c r="H303" t="s">
        <v>137</v>
      </c>
      <c r="I303" t="s">
        <v>138</v>
      </c>
      <c r="J303" s="91">
        <v>60131.987000000001</v>
      </c>
      <c r="K303" s="91">
        <v>4.2560000000000002</v>
      </c>
      <c r="L303" t="s">
        <v>724</v>
      </c>
      <c r="M303" t="s">
        <v>613</v>
      </c>
    </row>
    <row r="304" spans="1:13">
      <c r="A304" t="s">
        <v>937</v>
      </c>
      <c r="B304" t="s">
        <v>396</v>
      </c>
      <c r="C304" s="1">
        <v>45720</v>
      </c>
      <c r="D304" t="s">
        <v>54</v>
      </c>
      <c r="E304" t="s">
        <v>55</v>
      </c>
      <c r="F304" t="s">
        <v>49</v>
      </c>
      <c r="G304" t="s">
        <v>56</v>
      </c>
      <c r="H304" t="s">
        <v>65</v>
      </c>
      <c r="I304" t="s">
        <v>66</v>
      </c>
      <c r="J304" s="91">
        <v>20395.260999999999</v>
      </c>
      <c r="K304" s="91">
        <v>0.35699999999999998</v>
      </c>
      <c r="L304" t="s">
        <v>713</v>
      </c>
      <c r="M304" t="s">
        <v>613</v>
      </c>
    </row>
    <row r="305" spans="1:13">
      <c r="A305" t="s">
        <v>938</v>
      </c>
      <c r="B305" t="s">
        <v>397</v>
      </c>
      <c r="C305" s="1">
        <v>45723</v>
      </c>
      <c r="D305" t="s">
        <v>60</v>
      </c>
      <c r="E305" t="s">
        <v>61</v>
      </c>
      <c r="F305" t="s">
        <v>49</v>
      </c>
      <c r="G305" t="s">
        <v>56</v>
      </c>
      <c r="H305" t="s">
        <v>57</v>
      </c>
      <c r="I305" t="s">
        <v>58</v>
      </c>
      <c r="J305" s="91">
        <v>1588.595</v>
      </c>
      <c r="K305" s="91">
        <v>2.4089999999999998</v>
      </c>
      <c r="L305" t="s">
        <v>707</v>
      </c>
      <c r="M305" t="s">
        <v>613</v>
      </c>
    </row>
    <row r="306" spans="1:13">
      <c r="A306" t="s">
        <v>939</v>
      </c>
      <c r="B306" t="s">
        <v>405</v>
      </c>
      <c r="C306" s="1">
        <v>45728</v>
      </c>
      <c r="D306" t="s">
        <v>76</v>
      </c>
      <c r="E306" t="s">
        <v>77</v>
      </c>
      <c r="F306" t="s">
        <v>78</v>
      </c>
      <c r="G306" t="s">
        <v>37</v>
      </c>
      <c r="H306" t="s">
        <v>44</v>
      </c>
      <c r="I306" t="s">
        <v>45</v>
      </c>
      <c r="J306" s="91">
        <v>11520</v>
      </c>
      <c r="K306" s="91">
        <v>6.1379999999999999</v>
      </c>
      <c r="L306" t="s">
        <v>713</v>
      </c>
      <c r="M306" t="s">
        <v>613</v>
      </c>
    </row>
    <row r="307" spans="1:13">
      <c r="A307" t="s">
        <v>940</v>
      </c>
      <c r="B307" t="s">
        <v>387</v>
      </c>
      <c r="C307" s="1">
        <v>45736</v>
      </c>
      <c r="D307" t="s">
        <v>92</v>
      </c>
      <c r="E307" t="s">
        <v>93</v>
      </c>
      <c r="F307" t="s">
        <v>94</v>
      </c>
      <c r="G307" t="s">
        <v>56</v>
      </c>
      <c r="H307" t="s">
        <v>95</v>
      </c>
      <c r="I307" t="s">
        <v>96</v>
      </c>
      <c r="J307" s="91">
        <v>90.454999999999998</v>
      </c>
      <c r="K307" s="91">
        <v>6.2E-2</v>
      </c>
      <c r="L307" t="s">
        <v>709</v>
      </c>
      <c r="M307" t="s">
        <v>613</v>
      </c>
    </row>
    <row r="308" spans="1:13">
      <c r="A308" t="s">
        <v>941</v>
      </c>
      <c r="B308" t="s">
        <v>403</v>
      </c>
      <c r="C308" s="1">
        <v>45737</v>
      </c>
      <c r="D308" t="s">
        <v>26</v>
      </c>
      <c r="E308" t="s">
        <v>27</v>
      </c>
      <c r="F308" t="s">
        <v>28</v>
      </c>
      <c r="G308" t="s">
        <v>29</v>
      </c>
      <c r="H308" t="s">
        <v>30</v>
      </c>
      <c r="I308" t="s">
        <v>31</v>
      </c>
      <c r="J308" s="91">
        <v>22687.91</v>
      </c>
      <c r="K308" s="91">
        <v>4.5309999999999997</v>
      </c>
      <c r="L308" t="s">
        <v>707</v>
      </c>
      <c r="M308" t="s">
        <v>613</v>
      </c>
    </row>
    <row r="309" spans="1:13">
      <c r="A309" t="s">
        <v>942</v>
      </c>
      <c r="B309" t="s">
        <v>411</v>
      </c>
      <c r="C309" s="1">
        <v>45736</v>
      </c>
      <c r="D309" t="s">
        <v>82</v>
      </c>
      <c r="E309" t="s">
        <v>83</v>
      </c>
      <c r="F309" t="s">
        <v>78</v>
      </c>
      <c r="G309" t="s">
        <v>84</v>
      </c>
      <c r="H309" t="s">
        <v>79</v>
      </c>
      <c r="I309" t="s">
        <v>80</v>
      </c>
      <c r="J309" s="91">
        <v>230.4</v>
      </c>
      <c r="K309" s="91">
        <v>7.5999999999999998E-2</v>
      </c>
      <c r="L309" t="s">
        <v>709</v>
      </c>
      <c r="M309" t="s">
        <v>613</v>
      </c>
    </row>
    <row r="310" spans="1:13">
      <c r="A310" t="s">
        <v>943</v>
      </c>
      <c r="B310" t="s">
        <v>413</v>
      </c>
      <c r="C310" s="1">
        <v>45735</v>
      </c>
      <c r="D310" t="s">
        <v>117</v>
      </c>
      <c r="E310" t="s">
        <v>118</v>
      </c>
      <c r="F310" t="s">
        <v>119</v>
      </c>
      <c r="G310" t="s">
        <v>120</v>
      </c>
      <c r="H310" t="s">
        <v>121</v>
      </c>
      <c r="I310" t="s">
        <v>122</v>
      </c>
      <c r="J310" s="91">
        <v>11235425.295</v>
      </c>
      <c r="K310" s="91">
        <v>3272.078</v>
      </c>
      <c r="L310" t="s">
        <v>709</v>
      </c>
      <c r="M310" t="s">
        <v>613</v>
      </c>
    </row>
    <row r="311" spans="1:13">
      <c r="A311" t="s">
        <v>944</v>
      </c>
      <c r="B311" t="s">
        <v>414</v>
      </c>
      <c r="C311" s="1">
        <v>45733</v>
      </c>
      <c r="D311" t="s">
        <v>124</v>
      </c>
      <c r="E311" t="s">
        <v>125</v>
      </c>
      <c r="F311" t="s">
        <v>119</v>
      </c>
      <c r="G311" t="s">
        <v>126</v>
      </c>
      <c r="H311" t="s">
        <v>121</v>
      </c>
      <c r="I311" t="s">
        <v>122</v>
      </c>
      <c r="J311" s="91">
        <v>6553998.0889999997</v>
      </c>
      <c r="K311" s="91">
        <v>8231.1450000000004</v>
      </c>
      <c r="L311" t="s">
        <v>709</v>
      </c>
      <c r="M311" t="s">
        <v>613</v>
      </c>
    </row>
    <row r="312" spans="1:13">
      <c r="A312" t="s">
        <v>945</v>
      </c>
      <c r="B312" t="s">
        <v>419</v>
      </c>
      <c r="C312" s="1">
        <v>45735</v>
      </c>
      <c r="D312" t="s">
        <v>68</v>
      </c>
      <c r="E312" t="s">
        <v>69</v>
      </c>
      <c r="F312" t="s">
        <v>43</v>
      </c>
      <c r="G312" t="s">
        <v>37</v>
      </c>
      <c r="H312" t="s">
        <v>70</v>
      </c>
      <c r="I312" t="s">
        <v>71</v>
      </c>
      <c r="J312" s="91">
        <v>115207.327</v>
      </c>
      <c r="K312" s="91">
        <v>139.749</v>
      </c>
      <c r="L312" t="s">
        <v>705</v>
      </c>
      <c r="M312" t="s">
        <v>613</v>
      </c>
    </row>
    <row r="313" spans="1:13">
      <c r="A313" t="s">
        <v>946</v>
      </c>
      <c r="B313" t="s">
        <v>392</v>
      </c>
      <c r="C313" s="1">
        <v>45742</v>
      </c>
      <c r="D313" t="s">
        <v>111</v>
      </c>
      <c r="E313" t="s">
        <v>112</v>
      </c>
      <c r="F313" t="s">
        <v>113</v>
      </c>
      <c r="G313" t="s">
        <v>84</v>
      </c>
      <c r="H313" t="s">
        <v>114</v>
      </c>
      <c r="I313" t="s">
        <v>115</v>
      </c>
      <c r="J313" s="91">
        <v>20916751.839000002</v>
      </c>
      <c r="K313" s="91">
        <v>5193.8580000000002</v>
      </c>
      <c r="L313" t="s">
        <v>724</v>
      </c>
      <c r="M313" t="s">
        <v>613</v>
      </c>
    </row>
    <row r="314" spans="1:13">
      <c r="A314" t="s">
        <v>947</v>
      </c>
      <c r="B314" t="s">
        <v>418</v>
      </c>
      <c r="C314" s="1">
        <v>45740</v>
      </c>
      <c r="D314" t="s">
        <v>63</v>
      </c>
      <c r="E314" t="s">
        <v>64</v>
      </c>
      <c r="F314" t="s">
        <v>49</v>
      </c>
      <c r="G314" t="s">
        <v>56</v>
      </c>
      <c r="H314" t="s">
        <v>65</v>
      </c>
      <c r="I314" t="s">
        <v>66</v>
      </c>
      <c r="J314" s="91">
        <v>2304.223</v>
      </c>
      <c r="K314" s="91">
        <v>0.56000000000000005</v>
      </c>
      <c r="L314" t="s">
        <v>707</v>
      </c>
      <c r="M314" t="s">
        <v>613</v>
      </c>
    </row>
    <row r="315" spans="1:13">
      <c r="A315" t="s">
        <v>948</v>
      </c>
      <c r="B315" t="s">
        <v>427</v>
      </c>
      <c r="C315" s="1">
        <v>45746</v>
      </c>
      <c r="D315" t="s">
        <v>41</v>
      </c>
      <c r="E315" t="s">
        <v>42</v>
      </c>
      <c r="F315" t="s">
        <v>43</v>
      </c>
      <c r="G315" t="s">
        <v>37</v>
      </c>
      <c r="H315" t="s">
        <v>44</v>
      </c>
      <c r="I315" t="s">
        <v>45</v>
      </c>
      <c r="J315" s="91">
        <v>34562.99</v>
      </c>
      <c r="K315" s="91">
        <v>24.140999999999998</v>
      </c>
      <c r="L315" t="s">
        <v>709</v>
      </c>
      <c r="M315" t="s">
        <v>613</v>
      </c>
    </row>
    <row r="316" spans="1:13">
      <c r="A316" t="s">
        <v>949</v>
      </c>
      <c r="B316" t="s">
        <v>416</v>
      </c>
      <c r="C316" s="1">
        <v>45750</v>
      </c>
      <c r="D316" t="s">
        <v>54</v>
      </c>
      <c r="E316" t="s">
        <v>55</v>
      </c>
      <c r="F316" t="s">
        <v>49</v>
      </c>
      <c r="G316" t="s">
        <v>56</v>
      </c>
      <c r="H316" t="s">
        <v>65</v>
      </c>
      <c r="I316" t="s">
        <v>66</v>
      </c>
      <c r="J316" s="91">
        <v>17280</v>
      </c>
      <c r="K316" s="91">
        <v>8.4589999999999996</v>
      </c>
      <c r="L316" t="s">
        <v>713</v>
      </c>
      <c r="M316" t="s">
        <v>613</v>
      </c>
    </row>
    <row r="317" spans="1:13">
      <c r="A317" t="s">
        <v>950</v>
      </c>
      <c r="B317" t="s">
        <v>417</v>
      </c>
      <c r="C317" s="1">
        <v>45747</v>
      </c>
      <c r="D317" t="s">
        <v>60</v>
      </c>
      <c r="E317" t="s">
        <v>61</v>
      </c>
      <c r="F317" t="s">
        <v>49</v>
      </c>
      <c r="G317" t="s">
        <v>56</v>
      </c>
      <c r="H317" t="s">
        <v>57</v>
      </c>
      <c r="I317" t="s">
        <v>58</v>
      </c>
      <c r="J317" s="91">
        <v>1474.232</v>
      </c>
      <c r="K317" s="91">
        <v>0.17499999999999999</v>
      </c>
      <c r="L317" t="s">
        <v>707</v>
      </c>
      <c r="M317" t="s">
        <v>613</v>
      </c>
    </row>
    <row r="318" spans="1:13">
      <c r="A318" t="s">
        <v>951</v>
      </c>
      <c r="B318" t="s">
        <v>438</v>
      </c>
      <c r="C318" s="1">
        <v>45752</v>
      </c>
      <c r="D318" t="s">
        <v>140</v>
      </c>
      <c r="E318" t="s">
        <v>141</v>
      </c>
      <c r="F318" t="s">
        <v>142</v>
      </c>
      <c r="G318" t="s">
        <v>84</v>
      </c>
      <c r="H318" t="s">
        <v>143</v>
      </c>
      <c r="I318" t="s">
        <v>144</v>
      </c>
      <c r="J318" s="91">
        <v>22235501.592</v>
      </c>
      <c r="K318" s="91">
        <v>648.44600000000003</v>
      </c>
      <c r="L318" t="s">
        <v>724</v>
      </c>
      <c r="M318" t="s">
        <v>613</v>
      </c>
    </row>
    <row r="319" spans="1:13">
      <c r="A319" t="s">
        <v>952</v>
      </c>
      <c r="B319" t="s">
        <v>408</v>
      </c>
      <c r="C319" s="1">
        <v>45754</v>
      </c>
      <c r="D319" t="s">
        <v>134</v>
      </c>
      <c r="E319" t="s">
        <v>135</v>
      </c>
      <c r="F319" t="s">
        <v>136</v>
      </c>
      <c r="G319" t="s">
        <v>101</v>
      </c>
      <c r="H319" t="s">
        <v>137</v>
      </c>
      <c r="I319" t="s">
        <v>138</v>
      </c>
      <c r="J319" s="91">
        <v>52371.892999999996</v>
      </c>
      <c r="K319" s="91">
        <v>53.698</v>
      </c>
      <c r="L319" t="s">
        <v>705</v>
      </c>
      <c r="M319" t="s">
        <v>613</v>
      </c>
    </row>
    <row r="320" spans="1:13">
      <c r="A320" t="s">
        <v>953</v>
      </c>
      <c r="B320" t="s">
        <v>410</v>
      </c>
      <c r="C320" s="1">
        <v>45757</v>
      </c>
      <c r="D320" t="s">
        <v>47</v>
      </c>
      <c r="E320" t="s">
        <v>48</v>
      </c>
      <c r="F320" t="s">
        <v>49</v>
      </c>
      <c r="G320" t="s">
        <v>50</v>
      </c>
      <c r="H320" t="s">
        <v>51</v>
      </c>
      <c r="I320" t="s">
        <v>52</v>
      </c>
      <c r="J320" s="91">
        <v>142.59</v>
      </c>
      <c r="K320" s="91">
        <v>0.35599999999999998</v>
      </c>
      <c r="L320" t="s">
        <v>709</v>
      </c>
      <c r="M320" t="s">
        <v>613</v>
      </c>
    </row>
    <row r="321" spans="1:13">
      <c r="A321" t="s">
        <v>954</v>
      </c>
      <c r="B321" t="s">
        <v>424</v>
      </c>
      <c r="C321" s="1">
        <v>45755</v>
      </c>
      <c r="D321" t="s">
        <v>76</v>
      </c>
      <c r="E321" t="s">
        <v>77</v>
      </c>
      <c r="F321" t="s">
        <v>78</v>
      </c>
      <c r="G321" t="s">
        <v>37</v>
      </c>
      <c r="H321" t="s">
        <v>44</v>
      </c>
      <c r="I321" t="s">
        <v>45</v>
      </c>
      <c r="J321" s="91">
        <v>11529.948</v>
      </c>
      <c r="K321" s="91">
        <v>14.971</v>
      </c>
      <c r="L321" t="s">
        <v>707</v>
      </c>
      <c r="M321" t="s">
        <v>613</v>
      </c>
    </row>
    <row r="322" spans="1:13">
      <c r="A322" t="s">
        <v>955</v>
      </c>
      <c r="B322" t="s">
        <v>429</v>
      </c>
      <c r="C322" s="1">
        <v>45754</v>
      </c>
      <c r="D322" t="s">
        <v>73</v>
      </c>
      <c r="E322" t="s">
        <v>74</v>
      </c>
      <c r="F322" t="s">
        <v>43</v>
      </c>
      <c r="G322" t="s">
        <v>37</v>
      </c>
      <c r="H322" t="s">
        <v>70</v>
      </c>
      <c r="I322" t="s">
        <v>71</v>
      </c>
      <c r="J322" s="91">
        <v>59576.639999999999</v>
      </c>
      <c r="K322" s="91">
        <v>5.25</v>
      </c>
      <c r="L322" t="s">
        <v>709</v>
      </c>
      <c r="M322" t="s">
        <v>613</v>
      </c>
    </row>
    <row r="323" spans="1:13">
      <c r="A323" t="s">
        <v>956</v>
      </c>
      <c r="B323" t="s">
        <v>446</v>
      </c>
      <c r="C323" s="1">
        <v>45760</v>
      </c>
      <c r="D323" t="s">
        <v>134</v>
      </c>
      <c r="E323" t="s">
        <v>135</v>
      </c>
      <c r="F323" t="s">
        <v>136</v>
      </c>
      <c r="G323" t="s">
        <v>101</v>
      </c>
      <c r="H323" t="s">
        <v>137</v>
      </c>
      <c r="I323" t="s">
        <v>138</v>
      </c>
      <c r="J323" s="91">
        <v>68534.494999999995</v>
      </c>
      <c r="K323" s="91">
        <v>15.988</v>
      </c>
      <c r="L323" t="s">
        <v>724</v>
      </c>
      <c r="M323" t="s">
        <v>613</v>
      </c>
    </row>
    <row r="324" spans="1:13">
      <c r="A324" t="s">
        <v>957</v>
      </c>
      <c r="B324" t="s">
        <v>407</v>
      </c>
      <c r="C324" s="1">
        <v>45762</v>
      </c>
      <c r="D324" t="s">
        <v>92</v>
      </c>
      <c r="E324" t="s">
        <v>93</v>
      </c>
      <c r="F324" t="s">
        <v>94</v>
      </c>
      <c r="G324" t="s">
        <v>56</v>
      </c>
      <c r="H324" t="s">
        <v>95</v>
      </c>
      <c r="I324" t="s">
        <v>96</v>
      </c>
      <c r="J324" s="91">
        <v>76.846000000000004</v>
      </c>
      <c r="K324" s="91">
        <v>8.3000000000000004E-2</v>
      </c>
      <c r="L324" t="s">
        <v>705</v>
      </c>
      <c r="M324" t="s">
        <v>613</v>
      </c>
    </row>
    <row r="325" spans="1:13">
      <c r="A325" t="s">
        <v>958</v>
      </c>
      <c r="B325" t="s">
        <v>423</v>
      </c>
      <c r="C325" s="1">
        <v>45763</v>
      </c>
      <c r="D325" t="s">
        <v>26</v>
      </c>
      <c r="E325" t="s">
        <v>27</v>
      </c>
      <c r="F325" t="s">
        <v>28</v>
      </c>
      <c r="G325" t="s">
        <v>29</v>
      </c>
      <c r="H325" t="s">
        <v>149</v>
      </c>
      <c r="I325" t="s">
        <v>150</v>
      </c>
      <c r="J325" s="91">
        <v>19200</v>
      </c>
      <c r="K325" s="91">
        <v>19.068999999999999</v>
      </c>
      <c r="L325" t="s">
        <v>705</v>
      </c>
      <c r="M325" t="s">
        <v>613</v>
      </c>
    </row>
    <row r="326" spans="1:13">
      <c r="A326" t="s">
        <v>959</v>
      </c>
      <c r="B326" t="s">
        <v>430</v>
      </c>
      <c r="C326" s="1">
        <v>45764</v>
      </c>
      <c r="D326" t="s">
        <v>82</v>
      </c>
      <c r="E326" t="s">
        <v>83</v>
      </c>
      <c r="F326" t="s">
        <v>78</v>
      </c>
      <c r="G326" t="s">
        <v>84</v>
      </c>
      <c r="H326" t="s">
        <v>79</v>
      </c>
      <c r="I326" t="s">
        <v>80</v>
      </c>
      <c r="J326" s="91">
        <v>230.41800000000001</v>
      </c>
      <c r="K326" s="91">
        <v>0.10299999999999999</v>
      </c>
      <c r="L326" t="s">
        <v>707</v>
      </c>
      <c r="M326" t="s">
        <v>613</v>
      </c>
    </row>
    <row r="327" spans="1:13">
      <c r="A327" t="s">
        <v>960</v>
      </c>
      <c r="B327" t="s">
        <v>436</v>
      </c>
      <c r="C327" s="1">
        <v>45767</v>
      </c>
      <c r="D327" t="s">
        <v>117</v>
      </c>
      <c r="E327" t="s">
        <v>118</v>
      </c>
      <c r="F327" t="s">
        <v>119</v>
      </c>
      <c r="G327" t="s">
        <v>120</v>
      </c>
      <c r="H327" t="s">
        <v>137</v>
      </c>
      <c r="I327" t="s">
        <v>138</v>
      </c>
      <c r="J327" s="91">
        <v>13304760.812000001</v>
      </c>
      <c r="K327" s="91">
        <v>865.85599999999999</v>
      </c>
      <c r="L327" t="s">
        <v>707</v>
      </c>
      <c r="M327" t="s">
        <v>613</v>
      </c>
    </row>
    <row r="328" spans="1:13">
      <c r="A328" t="s">
        <v>961</v>
      </c>
      <c r="B328" t="s">
        <v>440</v>
      </c>
      <c r="C328" s="1">
        <v>45764</v>
      </c>
      <c r="D328" t="s">
        <v>68</v>
      </c>
      <c r="E328" t="s">
        <v>69</v>
      </c>
      <c r="F328" t="s">
        <v>43</v>
      </c>
      <c r="G328" t="s">
        <v>37</v>
      </c>
      <c r="H328" t="s">
        <v>44</v>
      </c>
      <c r="I328" t="s">
        <v>45</v>
      </c>
      <c r="J328" s="91">
        <v>111482.693</v>
      </c>
      <c r="K328" s="91">
        <v>6.9980000000000002</v>
      </c>
      <c r="L328" t="s">
        <v>705</v>
      </c>
      <c r="M328" t="s">
        <v>613</v>
      </c>
    </row>
    <row r="329" spans="1:13">
      <c r="A329" t="s">
        <v>962</v>
      </c>
      <c r="B329" t="s">
        <v>412</v>
      </c>
      <c r="C329" s="1">
        <v>45772</v>
      </c>
      <c r="D329" t="s">
        <v>111</v>
      </c>
      <c r="E329" t="s">
        <v>112</v>
      </c>
      <c r="F329" t="s">
        <v>113</v>
      </c>
      <c r="G329" t="s">
        <v>84</v>
      </c>
      <c r="H329" t="s">
        <v>121</v>
      </c>
      <c r="I329" t="s">
        <v>122</v>
      </c>
      <c r="J329" s="91">
        <v>18725708.824999999</v>
      </c>
      <c r="K329" s="91">
        <v>25360.171999999999</v>
      </c>
      <c r="L329" t="s">
        <v>705</v>
      </c>
      <c r="M329" t="s">
        <v>613</v>
      </c>
    </row>
    <row r="330" spans="1:13">
      <c r="A330" t="s">
        <v>963</v>
      </c>
      <c r="B330" t="s">
        <v>434</v>
      </c>
      <c r="C330" s="1">
        <v>45774</v>
      </c>
      <c r="D330" t="s">
        <v>54</v>
      </c>
      <c r="E330" t="s">
        <v>55</v>
      </c>
      <c r="F330" t="s">
        <v>49</v>
      </c>
      <c r="G330" t="s">
        <v>56</v>
      </c>
      <c r="H330" t="s">
        <v>65</v>
      </c>
      <c r="I330" t="s">
        <v>66</v>
      </c>
      <c r="J330" s="91">
        <v>17280.357</v>
      </c>
      <c r="K330" s="91">
        <v>24.81</v>
      </c>
      <c r="L330" t="s">
        <v>724</v>
      </c>
      <c r="M330" t="s">
        <v>613</v>
      </c>
    </row>
    <row r="331" spans="1:13">
      <c r="A331" t="s">
        <v>964</v>
      </c>
      <c r="B331" t="s">
        <v>437</v>
      </c>
      <c r="C331" s="1">
        <v>45770</v>
      </c>
      <c r="D331" t="s">
        <v>124</v>
      </c>
      <c r="E331" t="s">
        <v>125</v>
      </c>
      <c r="F331" t="s">
        <v>119</v>
      </c>
      <c r="G331" t="s">
        <v>126</v>
      </c>
      <c r="H331" t="s">
        <v>121</v>
      </c>
      <c r="I331" t="s">
        <v>122</v>
      </c>
      <c r="J331" s="91">
        <v>7762572.9100000001</v>
      </c>
      <c r="K331" s="91">
        <v>280.88299999999998</v>
      </c>
      <c r="L331" t="s">
        <v>713</v>
      </c>
      <c r="M331" t="s">
        <v>613</v>
      </c>
    </row>
    <row r="332" spans="1:13">
      <c r="A332" t="s">
        <v>965</v>
      </c>
      <c r="B332" t="s">
        <v>439</v>
      </c>
      <c r="C332" s="1">
        <v>45769</v>
      </c>
      <c r="D332" t="s">
        <v>63</v>
      </c>
      <c r="E332" t="s">
        <v>64</v>
      </c>
      <c r="F332" t="s">
        <v>49</v>
      </c>
      <c r="G332" t="s">
        <v>56</v>
      </c>
      <c r="H332" t="s">
        <v>65</v>
      </c>
      <c r="I332" t="s">
        <v>66</v>
      </c>
      <c r="J332" s="91">
        <v>2304.56</v>
      </c>
      <c r="K332" s="91">
        <v>0.106</v>
      </c>
      <c r="L332" t="s">
        <v>705</v>
      </c>
      <c r="M332" t="s">
        <v>613</v>
      </c>
    </row>
    <row r="333" spans="1:13">
      <c r="A333" t="s">
        <v>966</v>
      </c>
      <c r="B333" t="s">
        <v>426</v>
      </c>
      <c r="C333" s="1">
        <v>45778</v>
      </c>
      <c r="D333" t="s">
        <v>134</v>
      </c>
      <c r="E333" t="s">
        <v>135</v>
      </c>
      <c r="F333" t="s">
        <v>136</v>
      </c>
      <c r="G333" t="s">
        <v>101</v>
      </c>
      <c r="H333" t="s">
        <v>137</v>
      </c>
      <c r="I333" t="s">
        <v>138</v>
      </c>
      <c r="J333" s="91">
        <v>59907.845000000001</v>
      </c>
      <c r="K333" s="91">
        <v>0.90400000000000003</v>
      </c>
      <c r="L333" t="s">
        <v>724</v>
      </c>
      <c r="M333" t="s">
        <v>613</v>
      </c>
    </row>
    <row r="334" spans="1:13">
      <c r="A334" t="s">
        <v>967</v>
      </c>
      <c r="B334" t="s">
        <v>428</v>
      </c>
      <c r="C334" s="1">
        <v>45781</v>
      </c>
      <c r="D334" t="s">
        <v>47</v>
      </c>
      <c r="E334" t="s">
        <v>48</v>
      </c>
      <c r="F334" t="s">
        <v>49</v>
      </c>
      <c r="G334" t="s">
        <v>50</v>
      </c>
      <c r="H334" t="s">
        <v>51</v>
      </c>
      <c r="I334" t="s">
        <v>52</v>
      </c>
      <c r="J334" s="91">
        <v>115.265</v>
      </c>
      <c r="K334" s="91">
        <v>0.73499999999999999</v>
      </c>
      <c r="L334" t="s">
        <v>713</v>
      </c>
      <c r="M334" t="s">
        <v>613</v>
      </c>
    </row>
    <row r="335" spans="1:13">
      <c r="A335" t="s">
        <v>968</v>
      </c>
      <c r="B335" t="s">
        <v>435</v>
      </c>
      <c r="C335" s="1">
        <v>45779</v>
      </c>
      <c r="D335" t="s">
        <v>60</v>
      </c>
      <c r="E335" t="s">
        <v>61</v>
      </c>
      <c r="F335" t="s">
        <v>49</v>
      </c>
      <c r="G335" t="s">
        <v>56</v>
      </c>
      <c r="H335" t="s">
        <v>57</v>
      </c>
      <c r="I335" t="s">
        <v>58</v>
      </c>
      <c r="J335" s="91">
        <v>1541.6210000000001</v>
      </c>
      <c r="K335" s="91">
        <v>8.9999999999999993E-3</v>
      </c>
      <c r="L335" t="s">
        <v>713</v>
      </c>
      <c r="M335" t="s">
        <v>613</v>
      </c>
    </row>
    <row r="336" spans="1:13">
      <c r="A336" t="s">
        <v>969</v>
      </c>
      <c r="B336" t="s">
        <v>443</v>
      </c>
      <c r="C336" s="1">
        <v>45783</v>
      </c>
      <c r="D336" t="s">
        <v>76</v>
      </c>
      <c r="E336" t="s">
        <v>77</v>
      </c>
      <c r="F336" t="s">
        <v>78</v>
      </c>
      <c r="G336" t="s">
        <v>37</v>
      </c>
      <c r="H336" t="s">
        <v>44</v>
      </c>
      <c r="I336" t="s">
        <v>45</v>
      </c>
      <c r="J336" s="91">
        <v>11526.138000000001</v>
      </c>
      <c r="K336" s="91">
        <v>1.5409999999999999</v>
      </c>
      <c r="L336" t="s">
        <v>724</v>
      </c>
      <c r="M336" t="s">
        <v>613</v>
      </c>
    </row>
    <row r="337" spans="1:13">
      <c r="A337" t="s">
        <v>970</v>
      </c>
      <c r="B337" t="s">
        <v>447</v>
      </c>
      <c r="C337" s="1">
        <v>45783</v>
      </c>
      <c r="D337" t="s">
        <v>41</v>
      </c>
      <c r="E337" t="s">
        <v>42</v>
      </c>
      <c r="F337" t="s">
        <v>43</v>
      </c>
      <c r="G337" t="s">
        <v>37</v>
      </c>
      <c r="H337" t="s">
        <v>70</v>
      </c>
      <c r="I337" t="s">
        <v>71</v>
      </c>
      <c r="J337" s="91">
        <v>43179.141000000003</v>
      </c>
      <c r="K337" s="91">
        <v>3.9159999999999999</v>
      </c>
      <c r="L337" t="s">
        <v>713</v>
      </c>
      <c r="M337" t="s">
        <v>613</v>
      </c>
    </row>
    <row r="338" spans="1:13">
      <c r="A338" t="s">
        <v>971</v>
      </c>
      <c r="B338" t="s">
        <v>450</v>
      </c>
      <c r="C338" s="1">
        <v>45785</v>
      </c>
      <c r="D338" t="s">
        <v>73</v>
      </c>
      <c r="E338" t="s">
        <v>74</v>
      </c>
      <c r="F338" t="s">
        <v>43</v>
      </c>
      <c r="G338" t="s">
        <v>37</v>
      </c>
      <c r="H338" t="s">
        <v>70</v>
      </c>
      <c r="I338" t="s">
        <v>71</v>
      </c>
      <c r="J338" s="91">
        <v>55800.614000000001</v>
      </c>
      <c r="K338" s="91">
        <v>41.162999999999997</v>
      </c>
      <c r="L338" t="s">
        <v>709</v>
      </c>
      <c r="M338" t="s">
        <v>613</v>
      </c>
    </row>
    <row r="339" spans="1:13">
      <c r="A339" t="s">
        <v>972</v>
      </c>
      <c r="B339" t="s">
        <v>459</v>
      </c>
      <c r="C339" s="1">
        <v>45788</v>
      </c>
      <c r="D339" t="s">
        <v>140</v>
      </c>
      <c r="E339" t="s">
        <v>141</v>
      </c>
      <c r="F339" t="s">
        <v>142</v>
      </c>
      <c r="G339" t="s">
        <v>84</v>
      </c>
      <c r="H339" t="s">
        <v>121</v>
      </c>
      <c r="I339" t="s">
        <v>122</v>
      </c>
      <c r="J339" s="91">
        <v>22267196.140999999</v>
      </c>
      <c r="K339" s="91">
        <v>10770.607</v>
      </c>
      <c r="L339" t="s">
        <v>707</v>
      </c>
      <c r="M339" t="s">
        <v>613</v>
      </c>
    </row>
    <row r="340" spans="1:13">
      <c r="A340" t="s">
        <v>973</v>
      </c>
      <c r="B340" t="s">
        <v>425</v>
      </c>
      <c r="C340" s="1">
        <v>45791</v>
      </c>
      <c r="D340" t="s">
        <v>92</v>
      </c>
      <c r="E340" t="s">
        <v>93</v>
      </c>
      <c r="F340" t="s">
        <v>94</v>
      </c>
      <c r="G340" t="s">
        <v>56</v>
      </c>
      <c r="H340" t="s">
        <v>95</v>
      </c>
      <c r="I340" t="s">
        <v>96</v>
      </c>
      <c r="J340" s="91">
        <v>76.8</v>
      </c>
      <c r="K340" s="91">
        <v>0.17299999999999999</v>
      </c>
      <c r="L340" t="s">
        <v>724</v>
      </c>
      <c r="M340" t="s">
        <v>613</v>
      </c>
    </row>
    <row r="341" spans="1:13">
      <c r="A341" t="s">
        <v>974</v>
      </c>
      <c r="B341" t="s">
        <v>442</v>
      </c>
      <c r="C341" s="1">
        <v>45789</v>
      </c>
      <c r="D341" t="s">
        <v>26</v>
      </c>
      <c r="E341" t="s">
        <v>27</v>
      </c>
      <c r="F341" t="s">
        <v>28</v>
      </c>
      <c r="G341" t="s">
        <v>29</v>
      </c>
      <c r="H341" t="s">
        <v>149</v>
      </c>
      <c r="I341" t="s">
        <v>150</v>
      </c>
      <c r="J341" s="91">
        <v>19204.530999999999</v>
      </c>
      <c r="K341" s="91">
        <v>23.242000000000001</v>
      </c>
      <c r="L341" t="s">
        <v>707</v>
      </c>
      <c r="M341" t="s">
        <v>613</v>
      </c>
    </row>
    <row r="342" spans="1:13">
      <c r="A342" t="s">
        <v>975</v>
      </c>
      <c r="B342" t="s">
        <v>456</v>
      </c>
      <c r="C342" s="1">
        <v>45793</v>
      </c>
      <c r="D342" t="s">
        <v>68</v>
      </c>
      <c r="E342" t="s">
        <v>69</v>
      </c>
      <c r="F342" t="s">
        <v>43</v>
      </c>
      <c r="G342" t="s">
        <v>37</v>
      </c>
      <c r="H342" t="s">
        <v>44</v>
      </c>
      <c r="I342" t="s">
        <v>45</v>
      </c>
      <c r="J342" s="91">
        <v>118914.054</v>
      </c>
      <c r="K342" s="91">
        <v>4.6909999999999998</v>
      </c>
      <c r="L342" t="s">
        <v>709</v>
      </c>
      <c r="M342" t="s">
        <v>613</v>
      </c>
    </row>
    <row r="343" spans="1:13">
      <c r="A343" t="s">
        <v>976</v>
      </c>
      <c r="B343" t="s">
        <v>432</v>
      </c>
      <c r="C343" s="1">
        <v>45797</v>
      </c>
      <c r="D343" t="s">
        <v>111</v>
      </c>
      <c r="E343" t="s">
        <v>112</v>
      </c>
      <c r="F343" t="s">
        <v>113</v>
      </c>
      <c r="G343" t="s">
        <v>84</v>
      </c>
      <c r="H343" t="s">
        <v>121</v>
      </c>
      <c r="I343" t="s">
        <v>122</v>
      </c>
      <c r="J343" s="91">
        <v>18769983.263999999</v>
      </c>
      <c r="K343" s="91">
        <v>35188.832000000002</v>
      </c>
      <c r="L343" t="s">
        <v>709</v>
      </c>
      <c r="M343" t="s">
        <v>613</v>
      </c>
    </row>
    <row r="344" spans="1:13">
      <c r="A344" t="s">
        <v>977</v>
      </c>
      <c r="B344" t="s">
        <v>451</v>
      </c>
      <c r="C344" s="1">
        <v>45798</v>
      </c>
      <c r="D344" t="s">
        <v>82</v>
      </c>
      <c r="E344" t="s">
        <v>83</v>
      </c>
      <c r="F344" t="s">
        <v>78</v>
      </c>
      <c r="G344" t="s">
        <v>84</v>
      </c>
      <c r="H344" t="s">
        <v>79</v>
      </c>
      <c r="I344" t="s">
        <v>80</v>
      </c>
      <c r="J344" s="91">
        <v>287.87900000000002</v>
      </c>
      <c r="K344" s="91">
        <v>0.66500000000000004</v>
      </c>
      <c r="L344" t="s">
        <v>709</v>
      </c>
      <c r="M344" t="s">
        <v>613</v>
      </c>
    </row>
    <row r="345" spans="1:13">
      <c r="A345" t="s">
        <v>978</v>
      </c>
      <c r="B345" t="s">
        <v>457</v>
      </c>
      <c r="C345" s="1">
        <v>45802</v>
      </c>
      <c r="D345" t="s">
        <v>117</v>
      </c>
      <c r="E345" t="s">
        <v>118</v>
      </c>
      <c r="F345" t="s">
        <v>119</v>
      </c>
      <c r="G345" t="s">
        <v>120</v>
      </c>
      <c r="H345" t="s">
        <v>137</v>
      </c>
      <c r="I345" t="s">
        <v>138</v>
      </c>
      <c r="J345" s="91">
        <v>13301924.959000001</v>
      </c>
      <c r="K345" s="91">
        <v>2960.2979999999998</v>
      </c>
      <c r="L345" t="s">
        <v>724</v>
      </c>
      <c r="M345" t="s">
        <v>613</v>
      </c>
    </row>
    <row r="346" spans="1:13">
      <c r="A346" t="s">
        <v>979</v>
      </c>
      <c r="B346" t="s">
        <v>458</v>
      </c>
      <c r="C346" s="1">
        <v>45803</v>
      </c>
      <c r="D346" t="s">
        <v>124</v>
      </c>
      <c r="E346" t="s">
        <v>125</v>
      </c>
      <c r="F346" t="s">
        <v>119</v>
      </c>
      <c r="G346" t="s">
        <v>126</v>
      </c>
      <c r="H346" t="s">
        <v>121</v>
      </c>
      <c r="I346" t="s">
        <v>122</v>
      </c>
      <c r="J346" s="91">
        <v>7759232.0259999996</v>
      </c>
      <c r="K346" s="91">
        <v>2501.8020000000001</v>
      </c>
      <c r="L346" t="s">
        <v>709</v>
      </c>
      <c r="M346" t="s">
        <v>613</v>
      </c>
    </row>
    <row r="347" spans="1:13">
      <c r="A347" t="s">
        <v>980</v>
      </c>
      <c r="B347" t="s">
        <v>460</v>
      </c>
      <c r="C347" s="1">
        <v>45803</v>
      </c>
      <c r="D347" t="s">
        <v>63</v>
      </c>
      <c r="E347" t="s">
        <v>64</v>
      </c>
      <c r="F347" t="s">
        <v>49</v>
      </c>
      <c r="G347" t="s">
        <v>56</v>
      </c>
      <c r="H347" t="s">
        <v>65</v>
      </c>
      <c r="I347" t="s">
        <v>66</v>
      </c>
      <c r="J347" s="91">
        <v>2877.1060000000002</v>
      </c>
      <c r="K347" s="91">
        <v>2.972</v>
      </c>
      <c r="L347" t="s">
        <v>713</v>
      </c>
      <c r="M347" t="s">
        <v>613</v>
      </c>
    </row>
    <row r="348" spans="1:13">
      <c r="A348" t="s">
        <v>981</v>
      </c>
      <c r="B348" t="s">
        <v>449</v>
      </c>
      <c r="C348" s="1">
        <v>45811</v>
      </c>
      <c r="D348" t="s">
        <v>60</v>
      </c>
      <c r="E348" t="s">
        <v>61</v>
      </c>
      <c r="F348" t="s">
        <v>49</v>
      </c>
      <c r="G348" t="s">
        <v>56</v>
      </c>
      <c r="H348" t="s">
        <v>57</v>
      </c>
      <c r="I348" t="s">
        <v>58</v>
      </c>
      <c r="J348" s="91">
        <v>1598.1410000000001</v>
      </c>
      <c r="K348" s="91">
        <v>1.82</v>
      </c>
      <c r="L348" t="s">
        <v>705</v>
      </c>
      <c r="M348" t="s">
        <v>613</v>
      </c>
    </row>
    <row r="349" spans="1:13">
      <c r="A349" t="s">
        <v>982</v>
      </c>
      <c r="B349" t="s">
        <v>455</v>
      </c>
      <c r="C349" s="1">
        <v>45812</v>
      </c>
      <c r="D349" t="s">
        <v>54</v>
      </c>
      <c r="E349" t="s">
        <v>55</v>
      </c>
      <c r="F349" t="s">
        <v>49</v>
      </c>
      <c r="G349" t="s">
        <v>56</v>
      </c>
      <c r="H349" t="s">
        <v>57</v>
      </c>
      <c r="I349" t="s">
        <v>58</v>
      </c>
      <c r="J349" s="91">
        <v>21610.769</v>
      </c>
      <c r="K349" s="91">
        <v>31.959</v>
      </c>
      <c r="L349" t="s">
        <v>707</v>
      </c>
      <c r="M349" t="s">
        <v>613</v>
      </c>
    </row>
    <row r="350" spans="1:13">
      <c r="A350" t="s">
        <v>983</v>
      </c>
      <c r="B350" t="s">
        <v>467</v>
      </c>
      <c r="C350" s="1">
        <v>45813</v>
      </c>
      <c r="D350" t="s">
        <v>41</v>
      </c>
      <c r="E350" t="s">
        <v>42</v>
      </c>
      <c r="F350" t="s">
        <v>43</v>
      </c>
      <c r="G350" t="s">
        <v>37</v>
      </c>
      <c r="H350" t="s">
        <v>70</v>
      </c>
      <c r="I350" t="s">
        <v>71</v>
      </c>
      <c r="J350" s="91">
        <v>34563.915999999997</v>
      </c>
      <c r="K350" s="91">
        <v>20.428000000000001</v>
      </c>
      <c r="L350" t="s">
        <v>707</v>
      </c>
      <c r="M350" t="s">
        <v>613</v>
      </c>
    </row>
    <row r="351" spans="1:13">
      <c r="A351" t="s">
        <v>984</v>
      </c>
      <c r="B351" t="s">
        <v>468</v>
      </c>
      <c r="C351" s="1">
        <v>45812</v>
      </c>
      <c r="D351" t="s">
        <v>73</v>
      </c>
      <c r="E351" t="s">
        <v>74</v>
      </c>
      <c r="F351" t="s">
        <v>43</v>
      </c>
      <c r="G351" t="s">
        <v>37</v>
      </c>
      <c r="H351" t="s">
        <v>70</v>
      </c>
      <c r="I351" t="s">
        <v>71</v>
      </c>
      <c r="J351" s="91">
        <v>48041.163</v>
      </c>
      <c r="K351" s="91">
        <v>9.9220000000000006</v>
      </c>
      <c r="L351" t="s">
        <v>709</v>
      </c>
      <c r="M351" t="s">
        <v>613</v>
      </c>
    </row>
    <row r="352" spans="1:13">
      <c r="A352" t="s">
        <v>985</v>
      </c>
      <c r="B352" t="s">
        <v>444</v>
      </c>
      <c r="C352" s="1">
        <v>45823</v>
      </c>
      <c r="D352" t="s">
        <v>92</v>
      </c>
      <c r="E352" t="s">
        <v>93</v>
      </c>
      <c r="F352" t="s">
        <v>94</v>
      </c>
      <c r="G352" t="s">
        <v>56</v>
      </c>
      <c r="H352" t="s">
        <v>95</v>
      </c>
      <c r="I352" t="s">
        <v>96</v>
      </c>
      <c r="J352" s="91">
        <v>76.861999999999995</v>
      </c>
      <c r="K352" s="91">
        <v>0.13400000000000001</v>
      </c>
      <c r="L352" t="s">
        <v>709</v>
      </c>
      <c r="M352" t="s">
        <v>613</v>
      </c>
    </row>
    <row r="353" spans="1:13">
      <c r="A353" t="s">
        <v>986</v>
      </c>
      <c r="B353" t="s">
        <v>448</v>
      </c>
      <c r="C353" s="1">
        <v>45821</v>
      </c>
      <c r="D353" t="s">
        <v>47</v>
      </c>
      <c r="E353" t="s">
        <v>48</v>
      </c>
      <c r="F353" t="s">
        <v>49</v>
      </c>
      <c r="G353" t="s">
        <v>50</v>
      </c>
      <c r="H353" t="s">
        <v>51</v>
      </c>
      <c r="I353" t="s">
        <v>52</v>
      </c>
      <c r="J353" s="91">
        <v>120.36</v>
      </c>
      <c r="K353" s="91">
        <v>0.20899999999999999</v>
      </c>
      <c r="L353" t="s">
        <v>705</v>
      </c>
      <c r="M353" t="s">
        <v>613</v>
      </c>
    </row>
    <row r="354" spans="1:13">
      <c r="A354" t="s">
        <v>987</v>
      </c>
      <c r="B354" t="s">
        <v>454</v>
      </c>
      <c r="C354" s="1">
        <v>45819</v>
      </c>
      <c r="D354" t="s">
        <v>134</v>
      </c>
      <c r="E354" t="s">
        <v>135</v>
      </c>
      <c r="F354" t="s">
        <v>136</v>
      </c>
      <c r="G354" t="s">
        <v>101</v>
      </c>
      <c r="H354" t="s">
        <v>137</v>
      </c>
      <c r="I354" t="s">
        <v>138</v>
      </c>
      <c r="J354" s="91">
        <v>59353.279000000002</v>
      </c>
      <c r="K354" s="91">
        <v>11.847</v>
      </c>
      <c r="L354" t="s">
        <v>724</v>
      </c>
      <c r="M354" t="s">
        <v>613</v>
      </c>
    </row>
    <row r="355" spans="1:13">
      <c r="A355" t="s">
        <v>988</v>
      </c>
      <c r="B355" t="s">
        <v>463</v>
      </c>
      <c r="C355" s="1">
        <v>45823</v>
      </c>
      <c r="D355" t="s">
        <v>76</v>
      </c>
      <c r="E355" t="s">
        <v>77</v>
      </c>
      <c r="F355" t="s">
        <v>78</v>
      </c>
      <c r="G355" t="s">
        <v>37</v>
      </c>
      <c r="H355" t="s">
        <v>44</v>
      </c>
      <c r="I355" t="s">
        <v>45</v>
      </c>
      <c r="J355" s="91">
        <v>14401.512000000001</v>
      </c>
      <c r="K355" s="91">
        <v>0.54</v>
      </c>
      <c r="L355" t="s">
        <v>724</v>
      </c>
      <c r="M355" t="s">
        <v>613</v>
      </c>
    </row>
    <row r="356" spans="1:13">
      <c r="A356" t="s">
        <v>989</v>
      </c>
      <c r="B356" t="s">
        <v>479</v>
      </c>
      <c r="C356" s="1">
        <v>45817</v>
      </c>
      <c r="D356" t="s">
        <v>140</v>
      </c>
      <c r="E356" t="s">
        <v>141</v>
      </c>
      <c r="F356" t="s">
        <v>142</v>
      </c>
      <c r="G356" t="s">
        <v>84</v>
      </c>
      <c r="H356" t="s">
        <v>121</v>
      </c>
      <c r="I356" t="s">
        <v>122</v>
      </c>
      <c r="J356" s="91">
        <v>22463747.852000002</v>
      </c>
      <c r="K356" s="91">
        <v>5380.35</v>
      </c>
      <c r="L356" t="s">
        <v>713</v>
      </c>
      <c r="M356" t="s">
        <v>613</v>
      </c>
    </row>
    <row r="357" spans="1:13">
      <c r="A357" t="s">
        <v>990</v>
      </c>
      <c r="B357" t="s">
        <v>462</v>
      </c>
      <c r="C357" s="1">
        <v>45827</v>
      </c>
      <c r="D357" t="s">
        <v>26</v>
      </c>
      <c r="E357" t="s">
        <v>27</v>
      </c>
      <c r="F357" t="s">
        <v>28</v>
      </c>
      <c r="G357" t="s">
        <v>29</v>
      </c>
      <c r="H357" t="s">
        <v>30</v>
      </c>
      <c r="I357" t="s">
        <v>31</v>
      </c>
      <c r="J357" s="91">
        <v>23994.069</v>
      </c>
      <c r="K357" s="91">
        <v>5.4</v>
      </c>
      <c r="L357" t="s">
        <v>707</v>
      </c>
      <c r="M357" t="s">
        <v>613</v>
      </c>
    </row>
    <row r="358" spans="1:13">
      <c r="A358" t="s">
        <v>991</v>
      </c>
      <c r="B358" t="s">
        <v>474</v>
      </c>
      <c r="C358" s="1">
        <v>45826</v>
      </c>
      <c r="D358" t="s">
        <v>68</v>
      </c>
      <c r="E358" t="s">
        <v>69</v>
      </c>
      <c r="F358" t="s">
        <v>43</v>
      </c>
      <c r="G358" t="s">
        <v>37</v>
      </c>
      <c r="H358" t="s">
        <v>44</v>
      </c>
      <c r="I358" t="s">
        <v>45</v>
      </c>
      <c r="J358" s="91">
        <v>143704.69099999999</v>
      </c>
      <c r="K358" s="91">
        <v>12.268000000000001</v>
      </c>
      <c r="L358" t="s">
        <v>713</v>
      </c>
      <c r="M358" t="s">
        <v>613</v>
      </c>
    </row>
    <row r="359" spans="1:13">
      <c r="A359" t="s">
        <v>992</v>
      </c>
      <c r="B359" t="s">
        <v>453</v>
      </c>
      <c r="C359" s="1">
        <v>45832</v>
      </c>
      <c r="D359" t="s">
        <v>111</v>
      </c>
      <c r="E359" t="s">
        <v>112</v>
      </c>
      <c r="F359" t="s">
        <v>113</v>
      </c>
      <c r="G359" t="s">
        <v>84</v>
      </c>
      <c r="H359" t="s">
        <v>121</v>
      </c>
      <c r="I359" t="s">
        <v>122</v>
      </c>
      <c r="J359" s="91">
        <v>21462543.067000002</v>
      </c>
      <c r="K359" s="91">
        <v>4701.5150000000003</v>
      </c>
      <c r="L359" t="s">
        <v>705</v>
      </c>
      <c r="M359" t="s">
        <v>613</v>
      </c>
    </row>
    <row r="360" spans="1:13">
      <c r="A360" t="s">
        <v>993</v>
      </c>
      <c r="B360" t="s">
        <v>469</v>
      </c>
      <c r="C360" s="1">
        <v>45833</v>
      </c>
      <c r="D360" t="s">
        <v>82</v>
      </c>
      <c r="E360" t="s">
        <v>83</v>
      </c>
      <c r="F360" t="s">
        <v>78</v>
      </c>
      <c r="G360" t="s">
        <v>84</v>
      </c>
      <c r="H360" t="s">
        <v>79</v>
      </c>
      <c r="I360" t="s">
        <v>80</v>
      </c>
      <c r="J360" s="91">
        <v>230.4</v>
      </c>
      <c r="K360" s="91">
        <v>0.16900000000000001</v>
      </c>
      <c r="L360" t="s">
        <v>724</v>
      </c>
      <c r="M360" t="s">
        <v>613</v>
      </c>
    </row>
    <row r="361" spans="1:13">
      <c r="A361" t="s">
        <v>994</v>
      </c>
      <c r="B361" t="s">
        <v>476</v>
      </c>
      <c r="C361" s="1">
        <v>45837</v>
      </c>
      <c r="D361" t="s">
        <v>117</v>
      </c>
      <c r="E361" t="s">
        <v>118</v>
      </c>
      <c r="F361" t="s">
        <v>119</v>
      </c>
      <c r="G361" t="s">
        <v>120</v>
      </c>
      <c r="H361" t="s">
        <v>137</v>
      </c>
      <c r="I361" t="s">
        <v>138</v>
      </c>
      <c r="J361" s="91">
        <v>13414147.168</v>
      </c>
      <c r="K361" s="91">
        <v>4184.799</v>
      </c>
      <c r="L361" t="s">
        <v>707</v>
      </c>
      <c r="M361" t="s">
        <v>613</v>
      </c>
    </row>
    <row r="362" spans="1:13">
      <c r="A362" t="s">
        <v>995</v>
      </c>
      <c r="B362" t="s">
        <v>466</v>
      </c>
      <c r="C362" s="1">
        <v>45840</v>
      </c>
      <c r="D362" t="s">
        <v>134</v>
      </c>
      <c r="E362" t="s">
        <v>135</v>
      </c>
      <c r="F362" t="s">
        <v>136</v>
      </c>
      <c r="G362" t="s">
        <v>101</v>
      </c>
      <c r="H362" t="s">
        <v>137</v>
      </c>
      <c r="I362" t="s">
        <v>138</v>
      </c>
      <c r="J362" s="91">
        <v>63040.12</v>
      </c>
      <c r="K362" s="91">
        <v>8.5980000000000008</v>
      </c>
      <c r="L362" t="s">
        <v>709</v>
      </c>
      <c r="M362" t="s">
        <v>613</v>
      </c>
    </row>
    <row r="363" spans="1:13">
      <c r="A363" t="s">
        <v>996</v>
      </c>
      <c r="B363" t="s">
        <v>471</v>
      </c>
      <c r="C363" s="1">
        <v>45839</v>
      </c>
      <c r="D363" t="s">
        <v>60</v>
      </c>
      <c r="E363" t="s">
        <v>61</v>
      </c>
      <c r="F363" t="s">
        <v>49</v>
      </c>
      <c r="G363" t="s">
        <v>56</v>
      </c>
      <c r="H363" t="s">
        <v>57</v>
      </c>
      <c r="I363" t="s">
        <v>58</v>
      </c>
      <c r="J363" s="91">
        <v>1914.4580000000001</v>
      </c>
      <c r="K363" s="91">
        <v>2.7250000000000001</v>
      </c>
      <c r="L363" t="s">
        <v>707</v>
      </c>
      <c r="M363" t="s">
        <v>613</v>
      </c>
    </row>
    <row r="364" spans="1:13">
      <c r="A364" t="s">
        <v>997</v>
      </c>
      <c r="B364" t="s">
        <v>477</v>
      </c>
      <c r="C364" s="1">
        <v>45838</v>
      </c>
      <c r="D364" t="s">
        <v>124</v>
      </c>
      <c r="E364" t="s">
        <v>125</v>
      </c>
      <c r="F364" t="s">
        <v>119</v>
      </c>
      <c r="G364" t="s">
        <v>126</v>
      </c>
      <c r="H364" t="s">
        <v>121</v>
      </c>
      <c r="I364" t="s">
        <v>122</v>
      </c>
      <c r="J364" s="91">
        <v>7825694.1430000002</v>
      </c>
      <c r="K364" s="91">
        <v>11053.164000000001</v>
      </c>
      <c r="L364" t="s">
        <v>724</v>
      </c>
      <c r="M364" t="s">
        <v>613</v>
      </c>
    </row>
    <row r="365" spans="1:13">
      <c r="A365" t="s">
        <v>998</v>
      </c>
      <c r="B365" t="s">
        <v>480</v>
      </c>
      <c r="C365" s="1">
        <v>45839</v>
      </c>
      <c r="D365" t="s">
        <v>63</v>
      </c>
      <c r="E365" t="s">
        <v>64</v>
      </c>
      <c r="F365" t="s">
        <v>49</v>
      </c>
      <c r="G365" t="s">
        <v>56</v>
      </c>
      <c r="H365" t="s">
        <v>65</v>
      </c>
      <c r="I365" t="s">
        <v>66</v>
      </c>
      <c r="J365" s="91">
        <v>2873.9720000000002</v>
      </c>
      <c r="K365" s="91">
        <v>0.152</v>
      </c>
      <c r="L365" t="s">
        <v>707</v>
      </c>
      <c r="M365" t="s">
        <v>613</v>
      </c>
    </row>
    <row r="366" spans="1:13">
      <c r="A366" t="s">
        <v>999</v>
      </c>
      <c r="B366" t="s">
        <v>486</v>
      </c>
      <c r="C366" s="1">
        <v>45845</v>
      </c>
      <c r="D366" t="s">
        <v>41</v>
      </c>
      <c r="E366" t="s">
        <v>42</v>
      </c>
      <c r="F366" t="s">
        <v>43</v>
      </c>
      <c r="G366" t="s">
        <v>37</v>
      </c>
      <c r="H366" t="s">
        <v>70</v>
      </c>
      <c r="I366" t="s">
        <v>71</v>
      </c>
      <c r="J366" s="91">
        <v>43040.428</v>
      </c>
      <c r="K366" s="91">
        <v>11.324</v>
      </c>
      <c r="L366" t="s">
        <v>713</v>
      </c>
      <c r="M366" t="s">
        <v>613</v>
      </c>
    </row>
    <row r="367" spans="1:13">
      <c r="A367" t="s">
        <v>1000</v>
      </c>
      <c r="B367" t="s">
        <v>487</v>
      </c>
      <c r="C367" s="1">
        <v>45845</v>
      </c>
      <c r="D367" t="s">
        <v>73</v>
      </c>
      <c r="E367" t="s">
        <v>74</v>
      </c>
      <c r="F367" t="s">
        <v>43</v>
      </c>
      <c r="G367" t="s">
        <v>37</v>
      </c>
      <c r="H367" t="s">
        <v>70</v>
      </c>
      <c r="I367" t="s">
        <v>71</v>
      </c>
      <c r="J367" s="91">
        <v>59759.921999999999</v>
      </c>
      <c r="K367" s="91">
        <v>64.105000000000004</v>
      </c>
      <c r="L367" t="s">
        <v>707</v>
      </c>
      <c r="M367" t="s">
        <v>613</v>
      </c>
    </row>
    <row r="368" spans="1:13">
      <c r="A368" t="s">
        <v>1001</v>
      </c>
      <c r="B368" t="s">
        <v>464</v>
      </c>
      <c r="C368" s="1">
        <v>45853</v>
      </c>
      <c r="D368" t="s">
        <v>92</v>
      </c>
      <c r="E368" t="s">
        <v>93</v>
      </c>
      <c r="F368" t="s">
        <v>94</v>
      </c>
      <c r="G368" t="s">
        <v>56</v>
      </c>
      <c r="H368" t="s">
        <v>95</v>
      </c>
      <c r="I368" t="s">
        <v>96</v>
      </c>
      <c r="J368" s="91">
        <v>83.054000000000002</v>
      </c>
      <c r="K368" s="91">
        <v>0.23300000000000001</v>
      </c>
      <c r="L368" t="s">
        <v>713</v>
      </c>
      <c r="M368" t="s">
        <v>613</v>
      </c>
    </row>
    <row r="369" spans="1:13">
      <c r="A369" t="s">
        <v>1002</v>
      </c>
      <c r="B369" t="s">
        <v>470</v>
      </c>
      <c r="C369" s="1">
        <v>45852</v>
      </c>
      <c r="D369" t="s">
        <v>47</v>
      </c>
      <c r="E369" t="s">
        <v>48</v>
      </c>
      <c r="F369" t="s">
        <v>49</v>
      </c>
      <c r="G369" t="s">
        <v>50</v>
      </c>
      <c r="H369" t="s">
        <v>51</v>
      </c>
      <c r="I369" t="s">
        <v>52</v>
      </c>
      <c r="J369" s="91">
        <v>143.50299999999999</v>
      </c>
      <c r="K369" s="91">
        <v>0.214</v>
      </c>
      <c r="L369" t="s">
        <v>707</v>
      </c>
      <c r="M369" t="s">
        <v>613</v>
      </c>
    </row>
    <row r="370" spans="1:13">
      <c r="A370" t="s">
        <v>1003</v>
      </c>
      <c r="B370" t="s">
        <v>473</v>
      </c>
      <c r="C370" s="1">
        <v>45855</v>
      </c>
      <c r="D370" t="s">
        <v>54</v>
      </c>
      <c r="E370" t="s">
        <v>55</v>
      </c>
      <c r="F370" t="s">
        <v>49</v>
      </c>
      <c r="G370" t="s">
        <v>56</v>
      </c>
      <c r="H370" t="s">
        <v>65</v>
      </c>
      <c r="I370" t="s">
        <v>66</v>
      </c>
      <c r="J370" s="91">
        <v>21555</v>
      </c>
      <c r="K370" s="91">
        <v>2.552</v>
      </c>
      <c r="L370" t="s">
        <v>724</v>
      </c>
      <c r="M370" t="s">
        <v>613</v>
      </c>
    </row>
    <row r="371" spans="1:13">
      <c r="A371" t="s">
        <v>1004</v>
      </c>
      <c r="B371" t="s">
        <v>483</v>
      </c>
      <c r="C371" s="1">
        <v>45856</v>
      </c>
      <c r="D371" t="s">
        <v>76</v>
      </c>
      <c r="E371" t="s">
        <v>77</v>
      </c>
      <c r="F371" t="s">
        <v>78</v>
      </c>
      <c r="G371" t="s">
        <v>37</v>
      </c>
      <c r="H371" t="s">
        <v>44</v>
      </c>
      <c r="I371" t="s">
        <v>45</v>
      </c>
      <c r="J371" s="91">
        <v>14340.54</v>
      </c>
      <c r="K371" s="91">
        <v>5.0999999999999997E-2</v>
      </c>
      <c r="L371" t="s">
        <v>707</v>
      </c>
      <c r="M371" t="s">
        <v>613</v>
      </c>
    </row>
    <row r="372" spans="1:13">
      <c r="A372" t="s">
        <v>1005</v>
      </c>
      <c r="B372" t="s">
        <v>499</v>
      </c>
      <c r="C372" s="1">
        <v>45853</v>
      </c>
      <c r="D372" t="s">
        <v>140</v>
      </c>
      <c r="E372" t="s">
        <v>141</v>
      </c>
      <c r="F372" t="s">
        <v>142</v>
      </c>
      <c r="G372" t="s">
        <v>84</v>
      </c>
      <c r="H372" t="s">
        <v>121</v>
      </c>
      <c r="I372" t="s">
        <v>122</v>
      </c>
      <c r="J372" s="91">
        <v>22978013.620000001</v>
      </c>
      <c r="K372" s="91">
        <v>19073.582999999999</v>
      </c>
      <c r="L372" t="s">
        <v>707</v>
      </c>
      <c r="M372" t="s">
        <v>613</v>
      </c>
    </row>
    <row r="373" spans="1:13">
      <c r="A373" t="s">
        <v>1006</v>
      </c>
      <c r="B373" t="s">
        <v>478</v>
      </c>
      <c r="C373" s="1">
        <v>45859</v>
      </c>
      <c r="D373" t="s">
        <v>134</v>
      </c>
      <c r="E373" t="s">
        <v>135</v>
      </c>
      <c r="F373" t="s">
        <v>136</v>
      </c>
      <c r="G373" t="s">
        <v>101</v>
      </c>
      <c r="H373" t="s">
        <v>137</v>
      </c>
      <c r="I373" t="s">
        <v>138</v>
      </c>
      <c r="J373" s="91">
        <v>60888.012999999999</v>
      </c>
      <c r="K373" s="91">
        <v>56.685000000000002</v>
      </c>
      <c r="L373" t="s">
        <v>724</v>
      </c>
      <c r="M373" t="s">
        <v>613</v>
      </c>
    </row>
    <row r="374" spans="1:13">
      <c r="A374" t="s">
        <v>1007</v>
      </c>
      <c r="B374" t="s">
        <v>482</v>
      </c>
      <c r="C374" s="1">
        <v>45860</v>
      </c>
      <c r="D374" t="s">
        <v>26</v>
      </c>
      <c r="E374" t="s">
        <v>27</v>
      </c>
      <c r="F374" t="s">
        <v>28</v>
      </c>
      <c r="G374" t="s">
        <v>29</v>
      </c>
      <c r="H374" t="s">
        <v>149</v>
      </c>
      <c r="I374" t="s">
        <v>150</v>
      </c>
      <c r="J374" s="91">
        <v>23923.241999999998</v>
      </c>
      <c r="K374" s="91">
        <v>20.282</v>
      </c>
      <c r="L374" t="s">
        <v>724</v>
      </c>
      <c r="M374" t="s">
        <v>613</v>
      </c>
    </row>
    <row r="375" spans="1:13">
      <c r="A375" t="s">
        <v>1008</v>
      </c>
      <c r="B375" t="s">
        <v>488</v>
      </c>
      <c r="C375" s="1">
        <v>45860</v>
      </c>
      <c r="D375" t="s">
        <v>82</v>
      </c>
      <c r="E375" t="s">
        <v>83</v>
      </c>
      <c r="F375" t="s">
        <v>78</v>
      </c>
      <c r="G375" t="s">
        <v>84</v>
      </c>
      <c r="H375" t="s">
        <v>79</v>
      </c>
      <c r="I375" t="s">
        <v>80</v>
      </c>
      <c r="J375" s="91">
        <v>287.46499999999997</v>
      </c>
      <c r="K375" s="91">
        <v>5.5E-2</v>
      </c>
      <c r="L375" t="s">
        <v>724</v>
      </c>
      <c r="M375" t="s">
        <v>613</v>
      </c>
    </row>
    <row r="376" spans="1:13">
      <c r="A376" t="s">
        <v>1009</v>
      </c>
      <c r="B376" t="s">
        <v>495</v>
      </c>
      <c r="C376" s="1">
        <v>45862</v>
      </c>
      <c r="D376" t="s">
        <v>68</v>
      </c>
      <c r="E376" t="s">
        <v>69</v>
      </c>
      <c r="F376" t="s">
        <v>43</v>
      </c>
      <c r="G376" t="s">
        <v>37</v>
      </c>
      <c r="H376" t="s">
        <v>44</v>
      </c>
      <c r="I376" t="s">
        <v>45</v>
      </c>
      <c r="J376" s="91">
        <v>142362.26800000001</v>
      </c>
      <c r="K376" s="91">
        <v>20.315000000000001</v>
      </c>
      <c r="L376" t="s">
        <v>724</v>
      </c>
      <c r="M376" t="s">
        <v>613</v>
      </c>
    </row>
    <row r="377" spans="1:13">
      <c r="A377" t="s">
        <v>1010</v>
      </c>
      <c r="B377" t="s">
        <v>498</v>
      </c>
      <c r="C377" s="1">
        <v>45872</v>
      </c>
      <c r="D377" t="s">
        <v>124</v>
      </c>
      <c r="E377" t="s">
        <v>125</v>
      </c>
      <c r="F377" t="s">
        <v>119</v>
      </c>
      <c r="G377" t="s">
        <v>126</v>
      </c>
      <c r="H377" t="s">
        <v>121</v>
      </c>
      <c r="I377" t="s">
        <v>122</v>
      </c>
      <c r="J377" s="91">
        <v>8017352.0599999996</v>
      </c>
      <c r="K377" s="91">
        <v>1548.84</v>
      </c>
      <c r="L377" t="s">
        <v>709</v>
      </c>
      <c r="M377" t="s">
        <v>613</v>
      </c>
    </row>
    <row r="378" spans="1:13">
      <c r="A378" t="s">
        <v>1011</v>
      </c>
      <c r="B378" t="s">
        <v>490</v>
      </c>
      <c r="C378" s="1">
        <v>45876</v>
      </c>
      <c r="D378" t="s">
        <v>60</v>
      </c>
      <c r="E378" t="s">
        <v>61</v>
      </c>
      <c r="F378" t="s">
        <v>49</v>
      </c>
      <c r="G378" t="s">
        <v>56</v>
      </c>
      <c r="H378" t="s">
        <v>57</v>
      </c>
      <c r="I378" t="s">
        <v>58</v>
      </c>
      <c r="J378" s="91">
        <v>1750.481</v>
      </c>
      <c r="K378" s="91">
        <v>2.7650000000000001</v>
      </c>
      <c r="L378" t="s">
        <v>705</v>
      </c>
      <c r="M378" t="s">
        <v>613</v>
      </c>
    </row>
    <row r="379" spans="1:13">
      <c r="A379" t="s">
        <v>1012</v>
      </c>
      <c r="B379" t="s">
        <v>497</v>
      </c>
      <c r="C379" s="1">
        <v>45873</v>
      </c>
      <c r="D379" t="s">
        <v>117</v>
      </c>
      <c r="E379" t="s">
        <v>118</v>
      </c>
      <c r="F379" t="s">
        <v>119</v>
      </c>
      <c r="G379" t="s">
        <v>120</v>
      </c>
      <c r="H379" t="s">
        <v>137</v>
      </c>
      <c r="I379" t="s">
        <v>138</v>
      </c>
      <c r="J379" s="91">
        <v>13729268.622</v>
      </c>
      <c r="K379" s="91">
        <v>152.11600000000001</v>
      </c>
      <c r="L379" t="s">
        <v>709</v>
      </c>
      <c r="M379" t="s">
        <v>613</v>
      </c>
    </row>
    <row r="380" spans="1:13">
      <c r="A380" t="s">
        <v>1013</v>
      </c>
      <c r="B380" t="s">
        <v>500</v>
      </c>
      <c r="C380" s="1">
        <v>45873</v>
      </c>
      <c r="D380" t="s">
        <v>63</v>
      </c>
      <c r="E380" t="s">
        <v>64</v>
      </c>
      <c r="F380" t="s">
        <v>49</v>
      </c>
      <c r="G380" t="s">
        <v>56</v>
      </c>
      <c r="H380" t="s">
        <v>65</v>
      </c>
      <c r="I380" t="s">
        <v>66</v>
      </c>
      <c r="J380" s="91">
        <v>2850.152</v>
      </c>
      <c r="K380" s="91">
        <v>0.82799999999999996</v>
      </c>
      <c r="L380" t="s">
        <v>707</v>
      </c>
      <c r="M380" t="s">
        <v>613</v>
      </c>
    </row>
    <row r="381" spans="1:13">
      <c r="A381" t="s">
        <v>1014</v>
      </c>
      <c r="B381" t="s">
        <v>475</v>
      </c>
      <c r="C381" s="1">
        <v>45886</v>
      </c>
      <c r="D381" t="s">
        <v>111</v>
      </c>
      <c r="E381" t="s">
        <v>112</v>
      </c>
      <c r="F381" t="s">
        <v>113</v>
      </c>
      <c r="G381" t="s">
        <v>84</v>
      </c>
      <c r="H381" t="s">
        <v>114</v>
      </c>
      <c r="I381" t="s">
        <v>115</v>
      </c>
      <c r="J381" s="91">
        <v>21654680.019000001</v>
      </c>
      <c r="K381" s="91">
        <v>56915.303</v>
      </c>
      <c r="L381" t="s">
        <v>709</v>
      </c>
      <c r="M381" t="s">
        <v>613</v>
      </c>
    </row>
    <row r="382" spans="1:13">
      <c r="A382" t="s">
        <v>1015</v>
      </c>
      <c r="B382" t="s">
        <v>489</v>
      </c>
      <c r="C382" s="1">
        <v>45881</v>
      </c>
      <c r="D382" t="s">
        <v>134</v>
      </c>
      <c r="E382" t="s">
        <v>135</v>
      </c>
      <c r="F382" t="s">
        <v>136</v>
      </c>
      <c r="G382" t="s">
        <v>101</v>
      </c>
      <c r="H382" t="s">
        <v>137</v>
      </c>
      <c r="I382" t="s">
        <v>138</v>
      </c>
      <c r="J382" s="91">
        <v>56303.362999999998</v>
      </c>
      <c r="K382" s="91">
        <v>38.835999999999999</v>
      </c>
      <c r="L382" t="s">
        <v>713</v>
      </c>
      <c r="M382" t="s">
        <v>613</v>
      </c>
    </row>
    <row r="383" spans="1:13">
      <c r="A383" t="s">
        <v>1016</v>
      </c>
      <c r="B383" t="s">
        <v>494</v>
      </c>
      <c r="C383" s="1">
        <v>45880</v>
      </c>
      <c r="D383" t="s">
        <v>54</v>
      </c>
      <c r="E383" t="s">
        <v>55</v>
      </c>
      <c r="F383" t="s">
        <v>49</v>
      </c>
      <c r="G383" t="s">
        <v>56</v>
      </c>
      <c r="H383" t="s">
        <v>65</v>
      </c>
      <c r="I383" t="s">
        <v>66</v>
      </c>
      <c r="J383" s="91">
        <v>21384.458999999999</v>
      </c>
      <c r="K383" s="91">
        <v>16.146999999999998</v>
      </c>
      <c r="L383" t="s">
        <v>724</v>
      </c>
      <c r="M383" t="s">
        <v>613</v>
      </c>
    </row>
    <row r="384" spans="1:13">
      <c r="A384" t="s">
        <v>1017</v>
      </c>
      <c r="B384" t="s">
        <v>506</v>
      </c>
      <c r="C384" s="1">
        <v>45880</v>
      </c>
      <c r="D384" t="s">
        <v>41</v>
      </c>
      <c r="E384" t="s">
        <v>42</v>
      </c>
      <c r="F384" t="s">
        <v>43</v>
      </c>
      <c r="G384" t="s">
        <v>37</v>
      </c>
      <c r="H384" t="s">
        <v>44</v>
      </c>
      <c r="I384" t="s">
        <v>45</v>
      </c>
      <c r="J384" s="91">
        <v>42716.324000000001</v>
      </c>
      <c r="K384" s="91">
        <v>7.859</v>
      </c>
      <c r="L384" t="s">
        <v>707</v>
      </c>
      <c r="M384" t="s">
        <v>613</v>
      </c>
    </row>
    <row r="385" spans="1:13">
      <c r="A385" t="s">
        <v>1018</v>
      </c>
      <c r="B385" t="s">
        <v>507</v>
      </c>
      <c r="C385" s="1">
        <v>45881</v>
      </c>
      <c r="D385" t="s">
        <v>73</v>
      </c>
      <c r="E385" t="s">
        <v>74</v>
      </c>
      <c r="F385" t="s">
        <v>43</v>
      </c>
      <c r="G385" t="s">
        <v>37</v>
      </c>
      <c r="H385" t="s">
        <v>70</v>
      </c>
      <c r="I385" t="s">
        <v>71</v>
      </c>
      <c r="J385" s="91">
        <v>59638.894</v>
      </c>
      <c r="K385" s="91">
        <v>24.422999999999998</v>
      </c>
      <c r="L385" t="s">
        <v>705</v>
      </c>
      <c r="M385" t="s">
        <v>613</v>
      </c>
    </row>
    <row r="386" spans="1:13">
      <c r="A386" t="s">
        <v>1019</v>
      </c>
      <c r="B386" t="s">
        <v>484</v>
      </c>
      <c r="C386" s="1">
        <v>45887</v>
      </c>
      <c r="D386" t="s">
        <v>92</v>
      </c>
      <c r="E386" t="s">
        <v>93</v>
      </c>
      <c r="F386" t="s">
        <v>94</v>
      </c>
      <c r="G386" t="s">
        <v>56</v>
      </c>
      <c r="H386" t="s">
        <v>95</v>
      </c>
      <c r="I386" t="s">
        <v>96</v>
      </c>
      <c r="J386" s="91">
        <v>95.906999999999996</v>
      </c>
      <c r="K386" s="91">
        <v>5.0000000000000001E-3</v>
      </c>
      <c r="L386" t="s">
        <v>709</v>
      </c>
      <c r="M386" t="s">
        <v>613</v>
      </c>
    </row>
    <row r="387" spans="1:13">
      <c r="A387" t="s">
        <v>1020</v>
      </c>
      <c r="B387" t="s">
        <v>503</v>
      </c>
      <c r="C387" s="1">
        <v>45891</v>
      </c>
      <c r="D387" t="s">
        <v>76</v>
      </c>
      <c r="E387" t="s">
        <v>77</v>
      </c>
      <c r="F387" t="s">
        <v>78</v>
      </c>
      <c r="G387" t="s">
        <v>37</v>
      </c>
      <c r="H387" t="s">
        <v>44</v>
      </c>
      <c r="I387" t="s">
        <v>45</v>
      </c>
      <c r="J387" s="91">
        <v>14250.050999999999</v>
      </c>
      <c r="K387" s="91">
        <v>3.9409999999999998</v>
      </c>
      <c r="L387" t="s">
        <v>709</v>
      </c>
      <c r="M387" t="s">
        <v>613</v>
      </c>
    </row>
    <row r="388" spans="1:13">
      <c r="A388" t="s">
        <v>1021</v>
      </c>
      <c r="B388" t="s">
        <v>524</v>
      </c>
      <c r="C388" s="1">
        <v>45887</v>
      </c>
      <c r="D388" t="s">
        <v>140</v>
      </c>
      <c r="E388" t="s">
        <v>141</v>
      </c>
      <c r="F388" t="s">
        <v>142</v>
      </c>
      <c r="G388" t="s">
        <v>84</v>
      </c>
      <c r="H388" t="s">
        <v>121</v>
      </c>
      <c r="I388" t="s">
        <v>122</v>
      </c>
      <c r="J388" s="91">
        <v>18030841.170000002</v>
      </c>
      <c r="K388" s="91">
        <v>22509.192999999999</v>
      </c>
      <c r="L388" t="s">
        <v>713</v>
      </c>
      <c r="M388" t="s">
        <v>613</v>
      </c>
    </row>
    <row r="389" spans="1:13">
      <c r="A389" t="s">
        <v>1022</v>
      </c>
      <c r="B389" t="s">
        <v>493</v>
      </c>
      <c r="C389" s="1">
        <v>45897</v>
      </c>
      <c r="D389" t="s">
        <v>47</v>
      </c>
      <c r="E389" t="s">
        <v>48</v>
      </c>
      <c r="F389" t="s">
        <v>49</v>
      </c>
      <c r="G389" t="s">
        <v>50</v>
      </c>
      <c r="H389" t="s">
        <v>51</v>
      </c>
      <c r="I389" t="s">
        <v>52</v>
      </c>
      <c r="J389" s="91">
        <v>126.215</v>
      </c>
      <c r="K389" s="91">
        <v>0.28899999999999998</v>
      </c>
      <c r="L389" t="s">
        <v>724</v>
      </c>
      <c r="M389" t="s">
        <v>613</v>
      </c>
    </row>
    <row r="390" spans="1:13">
      <c r="A390" t="s">
        <v>1023</v>
      </c>
      <c r="B390" t="s">
        <v>508</v>
      </c>
      <c r="C390" s="1">
        <v>45895</v>
      </c>
      <c r="D390" t="s">
        <v>82</v>
      </c>
      <c r="E390" t="s">
        <v>83</v>
      </c>
      <c r="F390" t="s">
        <v>78</v>
      </c>
      <c r="G390" t="s">
        <v>84</v>
      </c>
      <c r="H390" t="s">
        <v>79</v>
      </c>
      <c r="I390" t="s">
        <v>80</v>
      </c>
      <c r="J390" s="91">
        <v>284.92399999999998</v>
      </c>
      <c r="K390" s="91">
        <v>0.314</v>
      </c>
      <c r="L390" t="s">
        <v>709</v>
      </c>
      <c r="M390" t="s">
        <v>613</v>
      </c>
    </row>
    <row r="391" spans="1:13">
      <c r="A391" t="s">
        <v>1024</v>
      </c>
      <c r="B391" t="s">
        <v>514</v>
      </c>
      <c r="C391" s="1">
        <v>45896</v>
      </c>
      <c r="D391" t="s">
        <v>34</v>
      </c>
      <c r="E391" t="s">
        <v>35</v>
      </c>
      <c r="F391" t="s">
        <v>36</v>
      </c>
      <c r="G391" t="s">
        <v>37</v>
      </c>
      <c r="H391" t="s">
        <v>515</v>
      </c>
      <c r="I391" t="s">
        <v>516</v>
      </c>
      <c r="J391" s="91">
        <v>840</v>
      </c>
      <c r="K391" s="91">
        <v>4.0000000000000001E-3</v>
      </c>
      <c r="L391" t="s">
        <v>705</v>
      </c>
      <c r="M391" t="s">
        <v>613</v>
      </c>
    </row>
    <row r="392" spans="1:13">
      <c r="A392" t="s">
        <v>1025</v>
      </c>
      <c r="B392" t="s">
        <v>519</v>
      </c>
      <c r="C392" s="1">
        <v>45898</v>
      </c>
      <c r="D392" t="s">
        <v>68</v>
      </c>
      <c r="E392" t="s">
        <v>69</v>
      </c>
      <c r="F392" t="s">
        <v>43</v>
      </c>
      <c r="G392" t="s">
        <v>37</v>
      </c>
      <c r="H392" t="s">
        <v>44</v>
      </c>
      <c r="I392" t="s">
        <v>45</v>
      </c>
      <c r="J392" s="91">
        <v>143720.315</v>
      </c>
      <c r="K392" s="91">
        <v>82.236999999999995</v>
      </c>
      <c r="L392" t="s">
        <v>713</v>
      </c>
      <c r="M392" t="s">
        <v>613</v>
      </c>
    </row>
    <row r="393" spans="1:13">
      <c r="A393" t="s">
        <v>1026</v>
      </c>
      <c r="B393" t="s">
        <v>501</v>
      </c>
      <c r="C393" s="1">
        <v>45901</v>
      </c>
      <c r="D393" t="s">
        <v>134</v>
      </c>
      <c r="E393" t="s">
        <v>135</v>
      </c>
      <c r="F393" t="s">
        <v>136</v>
      </c>
      <c r="G393" t="s">
        <v>101</v>
      </c>
      <c r="H393" t="s">
        <v>137</v>
      </c>
      <c r="I393" t="s">
        <v>138</v>
      </c>
      <c r="J393" s="91">
        <v>56351.415999999997</v>
      </c>
      <c r="K393" s="91">
        <v>5.2080000000000002</v>
      </c>
      <c r="L393" t="s">
        <v>713</v>
      </c>
      <c r="M393" t="s">
        <v>613</v>
      </c>
    </row>
    <row r="394" spans="1:13">
      <c r="A394" t="s">
        <v>1027</v>
      </c>
      <c r="B394" t="s">
        <v>502</v>
      </c>
      <c r="C394" s="1">
        <v>45902</v>
      </c>
      <c r="D394" t="s">
        <v>26</v>
      </c>
      <c r="E394" t="s">
        <v>27</v>
      </c>
      <c r="F394" t="s">
        <v>28</v>
      </c>
      <c r="G394" t="s">
        <v>29</v>
      </c>
      <c r="H394" t="s">
        <v>149</v>
      </c>
      <c r="I394" t="s">
        <v>150</v>
      </c>
      <c r="J394" s="91">
        <v>23755.4</v>
      </c>
      <c r="K394" s="91">
        <v>23.173999999999999</v>
      </c>
      <c r="L394" t="s">
        <v>707</v>
      </c>
      <c r="M394" t="s">
        <v>613</v>
      </c>
    </row>
    <row r="395" spans="1:13">
      <c r="A395" t="s">
        <v>1028</v>
      </c>
      <c r="B395" t="s">
        <v>496</v>
      </c>
      <c r="C395" s="1">
        <v>45908</v>
      </c>
      <c r="D395" t="s">
        <v>111</v>
      </c>
      <c r="E395" t="s">
        <v>112</v>
      </c>
      <c r="F395" t="s">
        <v>113</v>
      </c>
      <c r="G395" t="s">
        <v>84</v>
      </c>
      <c r="H395" t="s">
        <v>121</v>
      </c>
      <c r="I395" t="s">
        <v>122</v>
      </c>
      <c r="J395" s="91">
        <v>22879841.217999998</v>
      </c>
      <c r="K395" s="91">
        <v>8149.55</v>
      </c>
      <c r="L395" t="s">
        <v>709</v>
      </c>
      <c r="M395" t="s">
        <v>613</v>
      </c>
    </row>
    <row r="396" spans="1:13">
      <c r="A396" t="s">
        <v>1029</v>
      </c>
      <c r="B396" t="s">
        <v>511</v>
      </c>
      <c r="C396" s="1">
        <v>45909</v>
      </c>
      <c r="D396" t="s">
        <v>60</v>
      </c>
      <c r="E396" t="s">
        <v>61</v>
      </c>
      <c r="F396" t="s">
        <v>49</v>
      </c>
      <c r="G396" t="s">
        <v>56</v>
      </c>
      <c r="H396" t="s">
        <v>57</v>
      </c>
      <c r="I396" t="s">
        <v>58</v>
      </c>
      <c r="J396" s="91">
        <v>1906.7249999999999</v>
      </c>
      <c r="K396" s="91">
        <v>0.84</v>
      </c>
      <c r="L396" t="s">
        <v>724</v>
      </c>
      <c r="M396" t="s">
        <v>613</v>
      </c>
    </row>
    <row r="397" spans="1:13">
      <c r="A397" t="s">
        <v>1030</v>
      </c>
      <c r="B397" t="s">
        <v>521</v>
      </c>
      <c r="C397" s="1">
        <v>45909</v>
      </c>
      <c r="D397" t="s">
        <v>117</v>
      </c>
      <c r="E397" t="s">
        <v>118</v>
      </c>
      <c r="F397" t="s">
        <v>119</v>
      </c>
      <c r="G397" t="s">
        <v>120</v>
      </c>
      <c r="H397" t="s">
        <v>121</v>
      </c>
      <c r="I397" t="s">
        <v>122</v>
      </c>
      <c r="J397" s="91">
        <v>12733598.880999999</v>
      </c>
      <c r="K397" s="91">
        <v>6482.6189999999997</v>
      </c>
      <c r="L397" t="s">
        <v>707</v>
      </c>
      <c r="M397" t="s">
        <v>613</v>
      </c>
    </row>
    <row r="398" spans="1:13">
      <c r="A398" t="s">
        <v>1031</v>
      </c>
      <c r="B398" t="s">
        <v>522</v>
      </c>
      <c r="C398" s="1">
        <v>45909</v>
      </c>
      <c r="D398" t="s">
        <v>124</v>
      </c>
      <c r="E398" t="s">
        <v>125</v>
      </c>
      <c r="F398" t="s">
        <v>119</v>
      </c>
      <c r="G398" t="s">
        <v>126</v>
      </c>
      <c r="H398" t="s">
        <v>121</v>
      </c>
      <c r="I398" t="s">
        <v>122</v>
      </c>
      <c r="J398" s="91">
        <v>7429392.7869999995</v>
      </c>
      <c r="K398" s="91">
        <v>646.17100000000005</v>
      </c>
      <c r="L398" t="s">
        <v>724</v>
      </c>
      <c r="M398" t="s">
        <v>613</v>
      </c>
    </row>
    <row r="399" spans="1:13">
      <c r="A399" t="s">
        <v>1032</v>
      </c>
      <c r="B399" t="s">
        <v>518</v>
      </c>
      <c r="C399" s="1">
        <v>45917</v>
      </c>
      <c r="D399" t="s">
        <v>54</v>
      </c>
      <c r="E399" t="s">
        <v>55</v>
      </c>
      <c r="F399" t="s">
        <v>49</v>
      </c>
      <c r="G399" t="s">
        <v>56</v>
      </c>
      <c r="H399" t="s">
        <v>65</v>
      </c>
      <c r="I399" t="s">
        <v>66</v>
      </c>
      <c r="J399" s="91">
        <v>21557.552</v>
      </c>
      <c r="K399" s="91">
        <v>2.8159999999999998</v>
      </c>
      <c r="L399" t="s">
        <v>709</v>
      </c>
      <c r="M399" t="s">
        <v>613</v>
      </c>
    </row>
    <row r="400" spans="1:13">
      <c r="A400" t="s">
        <v>1033</v>
      </c>
      <c r="B400" t="s">
        <v>535</v>
      </c>
      <c r="C400" s="1">
        <v>45916</v>
      </c>
      <c r="D400" t="s">
        <v>140</v>
      </c>
      <c r="E400" t="s">
        <v>141</v>
      </c>
      <c r="F400" t="s">
        <v>142</v>
      </c>
      <c r="G400" t="s">
        <v>84</v>
      </c>
      <c r="H400" t="s">
        <v>143</v>
      </c>
      <c r="I400" t="s">
        <v>144</v>
      </c>
      <c r="J400" s="91">
        <v>21771820.098999999</v>
      </c>
      <c r="K400" s="91">
        <v>2162.92</v>
      </c>
      <c r="L400" t="s">
        <v>705</v>
      </c>
      <c r="M400" t="s">
        <v>613</v>
      </c>
    </row>
    <row r="401" spans="1:13">
      <c r="A401" t="s">
        <v>1034</v>
      </c>
      <c r="B401" t="s">
        <v>504</v>
      </c>
      <c r="C401" s="1">
        <v>45923</v>
      </c>
      <c r="D401" t="s">
        <v>92</v>
      </c>
      <c r="E401" t="s">
        <v>93</v>
      </c>
      <c r="F401" t="s">
        <v>94</v>
      </c>
      <c r="G401" t="s">
        <v>56</v>
      </c>
      <c r="H401" t="s">
        <v>95</v>
      </c>
      <c r="I401" t="s">
        <v>96</v>
      </c>
      <c r="J401" s="91">
        <v>108.16200000000001</v>
      </c>
      <c r="K401" s="91">
        <v>4.7E-2</v>
      </c>
      <c r="L401" t="s">
        <v>705</v>
      </c>
      <c r="M401" t="s">
        <v>613</v>
      </c>
    </row>
    <row r="402" spans="1:13">
      <c r="A402" t="s">
        <v>1035</v>
      </c>
      <c r="B402" t="s">
        <v>513</v>
      </c>
      <c r="C402" s="1">
        <v>45925</v>
      </c>
      <c r="D402" t="s">
        <v>134</v>
      </c>
      <c r="E402" t="s">
        <v>135</v>
      </c>
      <c r="F402" t="s">
        <v>136</v>
      </c>
      <c r="G402" t="s">
        <v>101</v>
      </c>
      <c r="H402" t="s">
        <v>137</v>
      </c>
      <c r="I402" t="s">
        <v>138</v>
      </c>
      <c r="J402" s="91">
        <v>64132.048999999999</v>
      </c>
      <c r="K402" s="91">
        <v>34.625</v>
      </c>
      <c r="L402" t="s">
        <v>705</v>
      </c>
      <c r="M402" t="s">
        <v>613</v>
      </c>
    </row>
    <row r="403" spans="1:13">
      <c r="A403" t="s">
        <v>1036</v>
      </c>
      <c r="B403" t="s">
        <v>526</v>
      </c>
      <c r="C403" s="1">
        <v>45925</v>
      </c>
      <c r="D403" t="s">
        <v>63</v>
      </c>
      <c r="E403" t="s">
        <v>64</v>
      </c>
      <c r="F403" t="s">
        <v>49</v>
      </c>
      <c r="G403" t="s">
        <v>56</v>
      </c>
      <c r="H403" t="s">
        <v>65</v>
      </c>
      <c r="I403" t="s">
        <v>66</v>
      </c>
      <c r="J403" s="91">
        <v>2871.828</v>
      </c>
      <c r="K403" s="91">
        <v>1.1080000000000001</v>
      </c>
      <c r="L403" t="s">
        <v>705</v>
      </c>
      <c r="M403" t="s">
        <v>613</v>
      </c>
    </row>
    <row r="404" spans="1:13">
      <c r="A404" t="s">
        <v>1037</v>
      </c>
      <c r="B404" t="s">
        <v>539</v>
      </c>
      <c r="C404" s="1">
        <v>45925</v>
      </c>
      <c r="D404" t="s">
        <v>134</v>
      </c>
      <c r="E404" t="s">
        <v>135</v>
      </c>
      <c r="F404" t="s">
        <v>136</v>
      </c>
      <c r="G404" t="s">
        <v>101</v>
      </c>
      <c r="H404" t="s">
        <v>137</v>
      </c>
      <c r="I404" t="s">
        <v>138</v>
      </c>
      <c r="J404" s="91">
        <v>61388.616000000002</v>
      </c>
      <c r="K404" s="91">
        <v>5.3280000000000003</v>
      </c>
      <c r="L404" t="s">
        <v>724</v>
      </c>
      <c r="M404" t="s">
        <v>613</v>
      </c>
    </row>
    <row r="405" spans="1:13">
      <c r="A405" t="s">
        <v>1038</v>
      </c>
      <c r="B405" t="s">
        <v>517</v>
      </c>
      <c r="C405" s="1">
        <v>45930</v>
      </c>
      <c r="D405" t="s">
        <v>47</v>
      </c>
      <c r="E405" t="s">
        <v>48</v>
      </c>
      <c r="F405" t="s">
        <v>49</v>
      </c>
      <c r="G405" t="s">
        <v>50</v>
      </c>
      <c r="H405" t="s">
        <v>51</v>
      </c>
      <c r="I405" t="s">
        <v>52</v>
      </c>
      <c r="J405" s="91">
        <v>143.91399999999999</v>
      </c>
      <c r="K405" s="91">
        <v>0.31</v>
      </c>
      <c r="L405" t="s">
        <v>705</v>
      </c>
      <c r="M405" t="s">
        <v>613</v>
      </c>
    </row>
    <row r="406" spans="1:13">
      <c r="A406" t="s">
        <v>1039</v>
      </c>
      <c r="B406" t="s">
        <v>536</v>
      </c>
      <c r="C406" s="1">
        <v>45931</v>
      </c>
      <c r="D406" t="s">
        <v>41</v>
      </c>
      <c r="E406" t="s">
        <v>42</v>
      </c>
      <c r="F406" t="s">
        <v>43</v>
      </c>
      <c r="G406" t="s">
        <v>37</v>
      </c>
      <c r="H406" t="s">
        <v>44</v>
      </c>
      <c r="I406" t="s">
        <v>45</v>
      </c>
      <c r="J406" s="91">
        <v>42847.858999999997</v>
      </c>
      <c r="K406" s="91">
        <v>0.37</v>
      </c>
      <c r="L406" t="s">
        <v>705</v>
      </c>
      <c r="M406" t="s">
        <v>613</v>
      </c>
    </row>
    <row r="407" spans="1:13">
      <c r="A407" t="s">
        <v>1040</v>
      </c>
      <c r="B407" t="s">
        <v>537</v>
      </c>
      <c r="C407" s="1">
        <v>45931</v>
      </c>
      <c r="D407" t="s">
        <v>73</v>
      </c>
      <c r="E407" t="s">
        <v>74</v>
      </c>
      <c r="F407" t="s">
        <v>43</v>
      </c>
      <c r="G407" t="s">
        <v>37</v>
      </c>
      <c r="H407" t="s">
        <v>70</v>
      </c>
      <c r="I407" t="s">
        <v>71</v>
      </c>
      <c r="J407" s="91">
        <v>59633.184000000001</v>
      </c>
      <c r="K407" s="91">
        <v>0.74</v>
      </c>
      <c r="L407" t="s">
        <v>724</v>
      </c>
      <c r="M407" t="s">
        <v>613</v>
      </c>
    </row>
    <row r="408" spans="1:13">
      <c r="A408" t="s">
        <v>1041</v>
      </c>
      <c r="B408" t="s">
        <v>510</v>
      </c>
      <c r="C408" s="1">
        <v>45938</v>
      </c>
      <c r="D408" t="s">
        <v>34</v>
      </c>
      <c r="E408" t="s">
        <v>35</v>
      </c>
      <c r="F408" t="s">
        <v>36</v>
      </c>
      <c r="G408" t="s">
        <v>37</v>
      </c>
      <c r="H408" t="s">
        <v>38</v>
      </c>
      <c r="I408" t="s">
        <v>39</v>
      </c>
      <c r="J408" s="91">
        <v>2085.2759999999998</v>
      </c>
      <c r="K408" s="91">
        <v>1.2090000000000001</v>
      </c>
      <c r="L408" t="s">
        <v>705</v>
      </c>
      <c r="M408" t="s">
        <v>613</v>
      </c>
    </row>
    <row r="409" spans="1:13">
      <c r="A409" t="s">
        <v>1042</v>
      </c>
      <c r="B409" t="s">
        <v>528</v>
      </c>
      <c r="C409" s="1">
        <v>45937</v>
      </c>
      <c r="D409" t="s">
        <v>76</v>
      </c>
      <c r="E409" t="s">
        <v>77</v>
      </c>
      <c r="F409" t="s">
        <v>78</v>
      </c>
      <c r="G409" t="s">
        <v>37</v>
      </c>
      <c r="H409" t="s">
        <v>44</v>
      </c>
      <c r="I409" t="s">
        <v>45</v>
      </c>
      <c r="J409" s="91">
        <v>14328.941000000001</v>
      </c>
      <c r="K409" s="91">
        <v>1.8640000000000001</v>
      </c>
      <c r="L409" t="s">
        <v>707</v>
      </c>
      <c r="M409" t="s">
        <v>613</v>
      </c>
    </row>
    <row r="410" spans="1:13">
      <c r="A410" t="s">
        <v>1043</v>
      </c>
      <c r="B410" t="s">
        <v>533</v>
      </c>
      <c r="C410" s="1">
        <v>45939</v>
      </c>
      <c r="D410" t="s">
        <v>117</v>
      </c>
      <c r="E410" t="s">
        <v>118</v>
      </c>
      <c r="F410" t="s">
        <v>119</v>
      </c>
      <c r="G410" t="s">
        <v>120</v>
      </c>
      <c r="H410" t="s">
        <v>137</v>
      </c>
      <c r="I410" t="s">
        <v>138</v>
      </c>
      <c r="J410" s="91">
        <v>11012290.362</v>
      </c>
      <c r="K410" s="91">
        <v>547.29899999999998</v>
      </c>
      <c r="L410" t="s">
        <v>705</v>
      </c>
      <c r="M410" t="s">
        <v>613</v>
      </c>
    </row>
    <row r="411" spans="1:13">
      <c r="A411" t="s">
        <v>1044</v>
      </c>
      <c r="B411" t="s">
        <v>534</v>
      </c>
      <c r="C411" s="1">
        <v>45939</v>
      </c>
      <c r="D411" t="s">
        <v>124</v>
      </c>
      <c r="E411" t="s">
        <v>125</v>
      </c>
      <c r="F411" t="s">
        <v>119</v>
      </c>
      <c r="G411" t="s">
        <v>126</v>
      </c>
      <c r="H411" t="s">
        <v>121</v>
      </c>
      <c r="I411" t="s">
        <v>122</v>
      </c>
      <c r="J411" s="91">
        <v>6423836.0449999999</v>
      </c>
      <c r="K411" s="91">
        <v>564.90099999999995</v>
      </c>
      <c r="L411" t="s">
        <v>709</v>
      </c>
      <c r="M411" t="s">
        <v>613</v>
      </c>
    </row>
    <row r="412" spans="1:13">
      <c r="A412" t="s">
        <v>1045</v>
      </c>
      <c r="B412" t="s">
        <v>525</v>
      </c>
      <c r="C412" s="1">
        <v>45944</v>
      </c>
      <c r="D412" t="s">
        <v>134</v>
      </c>
      <c r="E412" t="s">
        <v>135</v>
      </c>
      <c r="F412" t="s">
        <v>136</v>
      </c>
      <c r="G412" t="s">
        <v>101</v>
      </c>
      <c r="H412" t="s">
        <v>137</v>
      </c>
      <c r="I412" t="s">
        <v>138</v>
      </c>
      <c r="J412" s="91">
        <v>62513.517</v>
      </c>
      <c r="K412" s="91">
        <v>26.257000000000001</v>
      </c>
      <c r="L412" t="s">
        <v>709</v>
      </c>
      <c r="M412" t="s">
        <v>613</v>
      </c>
    </row>
    <row r="413" spans="1:13">
      <c r="A413" t="s">
        <v>1046</v>
      </c>
      <c r="B413" t="s">
        <v>527</v>
      </c>
      <c r="C413" s="1">
        <v>45948</v>
      </c>
      <c r="D413" t="s">
        <v>26</v>
      </c>
      <c r="E413" t="s">
        <v>27</v>
      </c>
      <c r="F413" t="s">
        <v>28</v>
      </c>
      <c r="G413" t="s">
        <v>29</v>
      </c>
      <c r="H413" t="s">
        <v>149</v>
      </c>
      <c r="I413" t="s">
        <v>150</v>
      </c>
      <c r="J413" s="91">
        <v>23918.455999999998</v>
      </c>
      <c r="K413" s="91">
        <v>12.984999999999999</v>
      </c>
      <c r="L413" t="s">
        <v>705</v>
      </c>
      <c r="M413" t="s">
        <v>613</v>
      </c>
    </row>
    <row r="414" spans="1:13">
      <c r="A414" t="s">
        <v>1047</v>
      </c>
      <c r="B414" t="s">
        <v>538</v>
      </c>
      <c r="C414" s="1">
        <v>45944</v>
      </c>
      <c r="D414" t="s">
        <v>82</v>
      </c>
      <c r="E414" t="s">
        <v>83</v>
      </c>
      <c r="F414" t="s">
        <v>78</v>
      </c>
      <c r="G414" t="s">
        <v>84</v>
      </c>
      <c r="H414" t="s">
        <v>79</v>
      </c>
      <c r="I414" t="s">
        <v>80</v>
      </c>
      <c r="J414" s="91">
        <v>285.91399999999999</v>
      </c>
      <c r="K414" s="91">
        <v>0.126</v>
      </c>
      <c r="L414" t="s">
        <v>709</v>
      </c>
      <c r="M414" t="s">
        <v>613</v>
      </c>
    </row>
    <row r="415" spans="1:13">
      <c r="A415" t="s">
        <v>1048</v>
      </c>
      <c r="B415" t="s">
        <v>545</v>
      </c>
      <c r="C415" s="1">
        <v>45946</v>
      </c>
      <c r="D415" t="s">
        <v>68</v>
      </c>
      <c r="E415" t="s">
        <v>69</v>
      </c>
      <c r="F415" t="s">
        <v>43</v>
      </c>
      <c r="G415" t="s">
        <v>37</v>
      </c>
      <c r="H415" t="s">
        <v>44</v>
      </c>
      <c r="I415" t="s">
        <v>45</v>
      </c>
      <c r="J415" s="91">
        <v>142732.23699999999</v>
      </c>
      <c r="K415" s="91">
        <v>51.488999999999997</v>
      </c>
      <c r="L415" t="s">
        <v>707</v>
      </c>
      <c r="M415" t="s">
        <v>613</v>
      </c>
    </row>
    <row r="416" spans="1:13">
      <c r="A416" t="s">
        <v>1049</v>
      </c>
      <c r="B416" t="s">
        <v>555</v>
      </c>
      <c r="C416" s="1">
        <v>45949</v>
      </c>
      <c r="D416" t="s">
        <v>140</v>
      </c>
      <c r="E416" t="s">
        <v>141</v>
      </c>
      <c r="F416" t="s">
        <v>142</v>
      </c>
      <c r="G416" t="s">
        <v>84</v>
      </c>
      <c r="H416" t="s">
        <v>121</v>
      </c>
      <c r="I416" t="s">
        <v>122</v>
      </c>
      <c r="J416" s="91">
        <v>20715744.780999999</v>
      </c>
      <c r="K416" s="91">
        <v>20469.838</v>
      </c>
      <c r="L416" t="s">
        <v>709</v>
      </c>
      <c r="M416" t="s">
        <v>613</v>
      </c>
    </row>
    <row r="417" spans="1:13">
      <c r="A417" t="s">
        <v>1050</v>
      </c>
      <c r="B417" t="s">
        <v>541</v>
      </c>
      <c r="C417" s="1">
        <v>45955</v>
      </c>
      <c r="D417" t="s">
        <v>60</v>
      </c>
      <c r="E417" t="s">
        <v>61</v>
      </c>
      <c r="F417" t="s">
        <v>49</v>
      </c>
      <c r="G417" t="s">
        <v>56</v>
      </c>
      <c r="H417" t="s">
        <v>57</v>
      </c>
      <c r="I417" t="s">
        <v>58</v>
      </c>
      <c r="J417" s="91">
        <v>1905.605</v>
      </c>
      <c r="K417" s="91">
        <v>1.256</v>
      </c>
      <c r="L417" t="s">
        <v>707</v>
      </c>
      <c r="M417" t="s">
        <v>613</v>
      </c>
    </row>
    <row r="418" spans="1:13">
      <c r="A418" t="s">
        <v>1051</v>
      </c>
      <c r="B418" t="s">
        <v>520</v>
      </c>
      <c r="C418" s="1">
        <v>45958</v>
      </c>
      <c r="D418" t="s">
        <v>111</v>
      </c>
      <c r="E418" t="s">
        <v>112</v>
      </c>
      <c r="F418" t="s">
        <v>113</v>
      </c>
      <c r="G418" t="s">
        <v>84</v>
      </c>
      <c r="H418" t="s">
        <v>121</v>
      </c>
      <c r="I418" t="s">
        <v>122</v>
      </c>
      <c r="J418" s="91">
        <v>21222411.276999999</v>
      </c>
      <c r="K418" s="91">
        <v>8654.3420000000006</v>
      </c>
      <c r="L418" t="s">
        <v>724</v>
      </c>
      <c r="M418" t="s">
        <v>613</v>
      </c>
    </row>
    <row r="419" spans="1:13">
      <c r="A419" t="s">
        <v>1052</v>
      </c>
      <c r="B419" t="s">
        <v>544</v>
      </c>
      <c r="C419" s="1">
        <v>45967</v>
      </c>
      <c r="D419" t="s">
        <v>54</v>
      </c>
      <c r="E419" t="s">
        <v>55</v>
      </c>
      <c r="F419" t="s">
        <v>49</v>
      </c>
      <c r="G419" t="s">
        <v>56</v>
      </c>
      <c r="H419" t="s">
        <v>65</v>
      </c>
      <c r="I419" t="s">
        <v>66</v>
      </c>
      <c r="J419" s="91">
        <v>21416.463</v>
      </c>
      <c r="K419" s="91">
        <v>4.9859999999999998</v>
      </c>
      <c r="L419" t="s">
        <v>707</v>
      </c>
      <c r="M419" t="s">
        <v>613</v>
      </c>
    </row>
    <row r="420" spans="1:13">
      <c r="A420" t="s">
        <v>1053</v>
      </c>
      <c r="B420" t="s">
        <v>548</v>
      </c>
      <c r="C420" s="1">
        <v>45968</v>
      </c>
      <c r="D420" t="s">
        <v>63</v>
      </c>
      <c r="E420" t="s">
        <v>64</v>
      </c>
      <c r="F420" t="s">
        <v>49</v>
      </c>
      <c r="G420" t="s">
        <v>56</v>
      </c>
      <c r="H420" t="s">
        <v>65</v>
      </c>
      <c r="I420" t="s">
        <v>66</v>
      </c>
      <c r="J420" s="91">
        <v>2872.1080000000002</v>
      </c>
      <c r="K420" s="91">
        <v>0.40200000000000002</v>
      </c>
      <c r="L420" t="s">
        <v>724</v>
      </c>
      <c r="M420" t="s">
        <v>613</v>
      </c>
    </row>
    <row r="421" spans="1:13">
      <c r="A421" t="s">
        <v>1054</v>
      </c>
      <c r="B421" t="s">
        <v>556</v>
      </c>
      <c r="C421" s="1">
        <v>45964</v>
      </c>
      <c r="D421" t="s">
        <v>41</v>
      </c>
      <c r="E421" t="s">
        <v>42</v>
      </c>
      <c r="F421" t="s">
        <v>43</v>
      </c>
      <c r="G421" t="s">
        <v>37</v>
      </c>
      <c r="H421" t="s">
        <v>70</v>
      </c>
      <c r="I421" t="s">
        <v>71</v>
      </c>
      <c r="J421" s="91">
        <v>34740.370000000003</v>
      </c>
      <c r="K421" s="91">
        <v>28.567</v>
      </c>
      <c r="L421" t="s">
        <v>713</v>
      </c>
      <c r="M421" t="s">
        <v>613</v>
      </c>
    </row>
    <row r="422" spans="1:13">
      <c r="A422" t="s">
        <v>1055</v>
      </c>
      <c r="B422" t="s">
        <v>557</v>
      </c>
      <c r="C422" s="1">
        <v>45967</v>
      </c>
      <c r="D422" t="s">
        <v>73</v>
      </c>
      <c r="E422" t="s">
        <v>74</v>
      </c>
      <c r="F422" t="s">
        <v>43</v>
      </c>
      <c r="G422" t="s">
        <v>37</v>
      </c>
      <c r="H422" t="s">
        <v>70</v>
      </c>
      <c r="I422" t="s">
        <v>71</v>
      </c>
      <c r="J422" s="91">
        <v>48181.582999999999</v>
      </c>
      <c r="K422" s="91">
        <v>101.258</v>
      </c>
      <c r="L422" t="s">
        <v>724</v>
      </c>
      <c r="M422" t="s">
        <v>613</v>
      </c>
    </row>
    <row r="423" spans="1:13">
      <c r="A423" t="s">
        <v>1056</v>
      </c>
      <c r="B423" t="s">
        <v>529</v>
      </c>
      <c r="C423" s="1">
        <v>45972</v>
      </c>
      <c r="D423" t="s">
        <v>92</v>
      </c>
      <c r="E423" t="s">
        <v>93</v>
      </c>
      <c r="F423" t="s">
        <v>94</v>
      </c>
      <c r="G423" t="s">
        <v>56</v>
      </c>
      <c r="H423" t="s">
        <v>95</v>
      </c>
      <c r="I423" t="s">
        <v>96</v>
      </c>
      <c r="J423" s="91">
        <v>95.504999999999995</v>
      </c>
      <c r="K423" s="91">
        <v>0.10299999999999999</v>
      </c>
      <c r="L423" t="s">
        <v>713</v>
      </c>
      <c r="M423" t="s">
        <v>613</v>
      </c>
    </row>
    <row r="424" spans="1:13">
      <c r="A424" t="s">
        <v>1057</v>
      </c>
      <c r="B424" t="s">
        <v>532</v>
      </c>
      <c r="C424" s="1">
        <v>45971</v>
      </c>
      <c r="D424" t="s">
        <v>111</v>
      </c>
      <c r="E424" t="s">
        <v>112</v>
      </c>
      <c r="F424" t="s">
        <v>113</v>
      </c>
      <c r="G424" t="s">
        <v>84</v>
      </c>
      <c r="H424" t="s">
        <v>121</v>
      </c>
      <c r="I424" t="s">
        <v>122</v>
      </c>
      <c r="J424" s="91">
        <v>18410732.572999999</v>
      </c>
      <c r="K424" s="91">
        <v>19941.093000000001</v>
      </c>
      <c r="L424" t="s">
        <v>713</v>
      </c>
      <c r="M424" t="s">
        <v>613</v>
      </c>
    </row>
    <row r="425" spans="1:13">
      <c r="A425" t="s">
        <v>1058</v>
      </c>
      <c r="B425" t="s">
        <v>549</v>
      </c>
      <c r="C425" s="1">
        <v>45975</v>
      </c>
      <c r="D425" t="s">
        <v>76</v>
      </c>
      <c r="E425" t="s">
        <v>77</v>
      </c>
      <c r="F425" t="s">
        <v>78</v>
      </c>
      <c r="G425" t="s">
        <v>37</v>
      </c>
      <c r="H425" t="s">
        <v>44</v>
      </c>
      <c r="I425" t="s">
        <v>45</v>
      </c>
      <c r="J425" s="91">
        <v>11521.864</v>
      </c>
      <c r="K425" s="91">
        <v>0.441</v>
      </c>
      <c r="L425" t="s">
        <v>705</v>
      </c>
      <c r="M425" t="s">
        <v>613</v>
      </c>
    </row>
    <row r="426" spans="1:13">
      <c r="A426" t="s">
        <v>1059</v>
      </c>
      <c r="B426" t="s">
        <v>553</v>
      </c>
      <c r="C426" s="1">
        <v>45972</v>
      </c>
      <c r="D426" t="s">
        <v>117</v>
      </c>
      <c r="E426" t="s">
        <v>118</v>
      </c>
      <c r="F426" t="s">
        <v>119</v>
      </c>
      <c r="G426" t="s">
        <v>120</v>
      </c>
      <c r="H426" t="s">
        <v>137</v>
      </c>
      <c r="I426" t="s">
        <v>138</v>
      </c>
      <c r="J426" s="91">
        <v>12376263.365</v>
      </c>
      <c r="K426" s="91">
        <v>1137.7950000000001</v>
      </c>
      <c r="L426" t="s">
        <v>705</v>
      </c>
      <c r="M426" t="s">
        <v>613</v>
      </c>
    </row>
    <row r="427" spans="1:13">
      <c r="A427" t="s">
        <v>1060</v>
      </c>
      <c r="B427" t="s">
        <v>554</v>
      </c>
      <c r="C427" s="1">
        <v>45971</v>
      </c>
      <c r="D427" t="s">
        <v>124</v>
      </c>
      <c r="E427" t="s">
        <v>125</v>
      </c>
      <c r="F427" t="s">
        <v>119</v>
      </c>
      <c r="G427" t="s">
        <v>126</v>
      </c>
      <c r="H427" t="s">
        <v>121</v>
      </c>
      <c r="I427" t="s">
        <v>122</v>
      </c>
      <c r="J427" s="91">
        <v>7216597.2489999998</v>
      </c>
      <c r="K427" s="91">
        <v>4133.652</v>
      </c>
      <c r="L427" t="s">
        <v>713</v>
      </c>
      <c r="M427" t="s">
        <v>613</v>
      </c>
    </row>
    <row r="428" spans="1:13">
      <c r="A428" t="s">
        <v>1061</v>
      </c>
      <c r="B428" t="s">
        <v>558</v>
      </c>
      <c r="C428" s="1">
        <v>45981</v>
      </c>
      <c r="D428" t="s">
        <v>82</v>
      </c>
      <c r="E428" t="s">
        <v>83</v>
      </c>
      <c r="F428" t="s">
        <v>78</v>
      </c>
      <c r="G428" t="s">
        <v>84</v>
      </c>
      <c r="H428" t="s">
        <v>79</v>
      </c>
      <c r="I428" t="s">
        <v>80</v>
      </c>
      <c r="J428" s="91">
        <v>211.006</v>
      </c>
      <c r="K428" s="91">
        <v>0.214</v>
      </c>
      <c r="L428" t="s">
        <v>709</v>
      </c>
      <c r="M428" t="s">
        <v>613</v>
      </c>
    </row>
    <row r="429" spans="1:13">
      <c r="A429" t="s">
        <v>1062</v>
      </c>
      <c r="B429" t="s">
        <v>567</v>
      </c>
      <c r="C429" s="1">
        <v>45978</v>
      </c>
      <c r="D429" t="s">
        <v>68</v>
      </c>
      <c r="E429" t="s">
        <v>69</v>
      </c>
      <c r="F429" t="s">
        <v>43</v>
      </c>
      <c r="G429" t="s">
        <v>37</v>
      </c>
      <c r="H429" t="s">
        <v>70</v>
      </c>
      <c r="I429" t="s">
        <v>71</v>
      </c>
      <c r="J429" s="91">
        <v>116001.489</v>
      </c>
      <c r="K429" s="91">
        <v>91.77</v>
      </c>
      <c r="L429" t="s">
        <v>705</v>
      </c>
      <c r="M429" t="s">
        <v>613</v>
      </c>
    </row>
    <row r="430" spans="1:13">
      <c r="A430" t="s">
        <v>1063</v>
      </c>
      <c r="B430" t="s">
        <v>540</v>
      </c>
      <c r="C430" s="1">
        <v>45988</v>
      </c>
      <c r="D430" t="s">
        <v>34</v>
      </c>
      <c r="E430" t="s">
        <v>35</v>
      </c>
      <c r="F430" t="s">
        <v>36</v>
      </c>
      <c r="G430" t="s">
        <v>37</v>
      </c>
      <c r="H430" t="s">
        <v>38</v>
      </c>
      <c r="I430" t="s">
        <v>39</v>
      </c>
      <c r="J430" s="91">
        <v>762.64200000000005</v>
      </c>
      <c r="K430" s="91">
        <v>2.375</v>
      </c>
      <c r="L430" t="s">
        <v>707</v>
      </c>
      <c r="M430" t="s">
        <v>613</v>
      </c>
    </row>
    <row r="431" spans="1:13">
      <c r="A431" t="s">
        <v>1064</v>
      </c>
      <c r="B431" t="s">
        <v>546</v>
      </c>
      <c r="C431" s="1">
        <v>45987</v>
      </c>
      <c r="D431" t="s">
        <v>134</v>
      </c>
      <c r="E431" t="s">
        <v>135</v>
      </c>
      <c r="F431" t="s">
        <v>136</v>
      </c>
      <c r="G431" t="s">
        <v>101</v>
      </c>
      <c r="H431" t="s">
        <v>137</v>
      </c>
      <c r="I431" t="s">
        <v>138</v>
      </c>
      <c r="J431" s="91">
        <v>56330.987999999998</v>
      </c>
      <c r="K431" s="91">
        <v>23.26</v>
      </c>
      <c r="L431" t="s">
        <v>707</v>
      </c>
      <c r="M431" t="s">
        <v>613</v>
      </c>
    </row>
    <row r="432" spans="1:13">
      <c r="A432" t="s">
        <v>1065</v>
      </c>
      <c r="B432" t="s">
        <v>547</v>
      </c>
      <c r="C432" s="1">
        <v>45994</v>
      </c>
      <c r="D432" t="s">
        <v>26</v>
      </c>
      <c r="E432" t="s">
        <v>27</v>
      </c>
      <c r="F432" t="s">
        <v>28</v>
      </c>
      <c r="G432" t="s">
        <v>29</v>
      </c>
      <c r="H432" t="s">
        <v>149</v>
      </c>
      <c r="I432" t="s">
        <v>150</v>
      </c>
      <c r="J432" s="91">
        <v>19200</v>
      </c>
      <c r="K432" s="91">
        <v>5.4790000000000001</v>
      </c>
      <c r="L432" t="s">
        <v>709</v>
      </c>
      <c r="M432" t="s">
        <v>613</v>
      </c>
    </row>
    <row r="433" spans="1:13">
      <c r="A433" t="s">
        <v>1066</v>
      </c>
      <c r="B433" t="s">
        <v>562</v>
      </c>
      <c r="C433" s="1">
        <v>45994</v>
      </c>
      <c r="D433" t="s">
        <v>60</v>
      </c>
      <c r="E433" t="s">
        <v>61</v>
      </c>
      <c r="F433" t="s">
        <v>49</v>
      </c>
      <c r="G433" t="s">
        <v>56</v>
      </c>
      <c r="H433" t="s">
        <v>57</v>
      </c>
      <c r="I433" t="s">
        <v>58</v>
      </c>
      <c r="J433" s="91">
        <v>1547.2560000000001</v>
      </c>
      <c r="K433" s="91">
        <v>4.1390000000000002</v>
      </c>
      <c r="L433" t="s">
        <v>707</v>
      </c>
      <c r="M433" t="s">
        <v>613</v>
      </c>
    </row>
    <row r="434" spans="1:13">
      <c r="A434" t="s">
        <v>1067</v>
      </c>
      <c r="B434" t="s">
        <v>569</v>
      </c>
      <c r="C434" s="1">
        <v>45992</v>
      </c>
      <c r="D434" t="s">
        <v>63</v>
      </c>
      <c r="E434" t="s">
        <v>64</v>
      </c>
      <c r="F434" t="s">
        <v>49</v>
      </c>
      <c r="G434" t="s">
        <v>56</v>
      </c>
      <c r="H434" t="s">
        <v>65</v>
      </c>
      <c r="I434" t="s">
        <v>66</v>
      </c>
      <c r="J434" s="91">
        <v>2304.402</v>
      </c>
      <c r="K434" s="91">
        <v>8.9999999999999993E-3</v>
      </c>
      <c r="L434" t="s">
        <v>705</v>
      </c>
      <c r="M434" t="s">
        <v>613</v>
      </c>
    </row>
    <row r="435" spans="1:13">
      <c r="A435" t="s">
        <v>1068</v>
      </c>
      <c r="B435" t="s">
        <v>577</v>
      </c>
      <c r="C435" s="1">
        <v>45992</v>
      </c>
      <c r="D435" t="s">
        <v>140</v>
      </c>
      <c r="E435" t="s">
        <v>141</v>
      </c>
      <c r="F435" t="s">
        <v>142</v>
      </c>
      <c r="G435" t="s">
        <v>84</v>
      </c>
      <c r="H435" t="s">
        <v>121</v>
      </c>
      <c r="I435" t="s">
        <v>122</v>
      </c>
      <c r="J435" s="91">
        <v>21183221.914999999</v>
      </c>
      <c r="K435" s="91">
        <v>19164.506000000001</v>
      </c>
      <c r="L435" t="s">
        <v>713</v>
      </c>
      <c r="M435" t="s">
        <v>613</v>
      </c>
    </row>
    <row r="436" spans="1:13">
      <c r="A436" t="s">
        <v>1069</v>
      </c>
      <c r="B436" t="s">
        <v>566</v>
      </c>
      <c r="C436" s="1">
        <v>46003</v>
      </c>
      <c r="D436" t="s">
        <v>54</v>
      </c>
      <c r="E436" t="s">
        <v>55</v>
      </c>
      <c r="F436" t="s">
        <v>49</v>
      </c>
      <c r="G436" t="s">
        <v>56</v>
      </c>
      <c r="H436" t="s">
        <v>65</v>
      </c>
      <c r="I436" t="s">
        <v>66</v>
      </c>
      <c r="J436" s="91">
        <v>17392.5</v>
      </c>
      <c r="K436" s="91">
        <v>4.4009999999999998</v>
      </c>
      <c r="L436" t="s">
        <v>713</v>
      </c>
      <c r="M436" t="s">
        <v>613</v>
      </c>
    </row>
    <row r="437" spans="1:13">
      <c r="A437" t="s">
        <v>1070</v>
      </c>
      <c r="B437" t="s">
        <v>570</v>
      </c>
      <c r="C437" s="1">
        <v>45999</v>
      </c>
      <c r="D437" t="s">
        <v>76</v>
      </c>
      <c r="E437" t="s">
        <v>77</v>
      </c>
      <c r="F437" t="s">
        <v>78</v>
      </c>
      <c r="G437" t="s">
        <v>37</v>
      </c>
      <c r="H437" t="s">
        <v>44</v>
      </c>
      <c r="I437" t="s">
        <v>45</v>
      </c>
      <c r="J437" s="91">
        <v>11520</v>
      </c>
      <c r="K437" s="91">
        <v>6.6000000000000003E-2</v>
      </c>
      <c r="L437" t="s">
        <v>709</v>
      </c>
      <c r="M437" t="s">
        <v>613</v>
      </c>
    </row>
    <row r="438" spans="1:13">
      <c r="A438" t="s">
        <v>1071</v>
      </c>
      <c r="B438" t="s">
        <v>578</v>
      </c>
      <c r="C438" s="1">
        <v>46002</v>
      </c>
      <c r="D438" t="s">
        <v>41</v>
      </c>
      <c r="E438" t="s">
        <v>42</v>
      </c>
      <c r="F438" t="s">
        <v>43</v>
      </c>
      <c r="G438" t="s">
        <v>37</v>
      </c>
      <c r="H438" t="s">
        <v>44</v>
      </c>
      <c r="I438" t="s">
        <v>45</v>
      </c>
      <c r="J438" s="91">
        <v>43138.567000000003</v>
      </c>
      <c r="K438" s="91">
        <v>7.258</v>
      </c>
      <c r="L438" t="s">
        <v>705</v>
      </c>
      <c r="M438" t="s">
        <v>613</v>
      </c>
    </row>
    <row r="439" spans="1:13">
      <c r="A439" t="s">
        <v>1072</v>
      </c>
      <c r="B439" t="s">
        <v>579</v>
      </c>
      <c r="C439" s="1">
        <v>46000</v>
      </c>
      <c r="D439" t="s">
        <v>73</v>
      </c>
      <c r="E439" t="s">
        <v>74</v>
      </c>
      <c r="F439" t="s">
        <v>43</v>
      </c>
      <c r="G439" t="s">
        <v>37</v>
      </c>
      <c r="H439" t="s">
        <v>70</v>
      </c>
      <c r="I439" t="s">
        <v>71</v>
      </c>
      <c r="J439" s="91">
        <v>52703.487000000001</v>
      </c>
      <c r="K439" s="91">
        <v>59.854999999999997</v>
      </c>
      <c r="L439" t="s">
        <v>709</v>
      </c>
      <c r="M439" t="s">
        <v>613</v>
      </c>
    </row>
    <row r="440" spans="1:13">
      <c r="A440" t="s">
        <v>1073</v>
      </c>
      <c r="B440" t="s">
        <v>543</v>
      </c>
      <c r="C440" s="1">
        <v>46008</v>
      </c>
      <c r="D440" t="s">
        <v>47</v>
      </c>
      <c r="E440" t="s">
        <v>48</v>
      </c>
      <c r="F440" t="s">
        <v>49</v>
      </c>
      <c r="G440" t="s">
        <v>50</v>
      </c>
      <c r="H440" t="s">
        <v>51</v>
      </c>
      <c r="I440" t="s">
        <v>52</v>
      </c>
      <c r="J440" s="91">
        <v>142.93899999999999</v>
      </c>
      <c r="K440" s="91">
        <v>0.24</v>
      </c>
      <c r="L440" t="s">
        <v>724</v>
      </c>
      <c r="M440" t="s">
        <v>613</v>
      </c>
    </row>
    <row r="441" spans="1:13">
      <c r="A441" t="s">
        <v>1074</v>
      </c>
      <c r="B441" t="s">
        <v>550</v>
      </c>
      <c r="C441" s="1">
        <v>46011</v>
      </c>
      <c r="D441" t="s">
        <v>92</v>
      </c>
      <c r="E441" t="s">
        <v>93</v>
      </c>
      <c r="F441" t="s">
        <v>94</v>
      </c>
      <c r="G441" t="s">
        <v>56</v>
      </c>
      <c r="H441" t="s">
        <v>95</v>
      </c>
      <c r="I441" t="s">
        <v>96</v>
      </c>
      <c r="J441" s="91">
        <v>76.846999999999994</v>
      </c>
      <c r="K441" s="91">
        <v>9.5000000000000001E-2</v>
      </c>
      <c r="L441" t="s">
        <v>724</v>
      </c>
      <c r="M441" t="s">
        <v>613</v>
      </c>
    </row>
    <row r="442" spans="1:13">
      <c r="A442" t="s">
        <v>1075</v>
      </c>
      <c r="B442" t="s">
        <v>552</v>
      </c>
      <c r="C442" s="1">
        <v>46007</v>
      </c>
      <c r="D442" t="s">
        <v>111</v>
      </c>
      <c r="E442" t="s">
        <v>112</v>
      </c>
      <c r="F442" t="s">
        <v>113</v>
      </c>
      <c r="G442" t="s">
        <v>84</v>
      </c>
      <c r="H442" t="s">
        <v>114</v>
      </c>
      <c r="I442" t="s">
        <v>115</v>
      </c>
      <c r="J442" s="91">
        <v>20623538.627</v>
      </c>
      <c r="K442" s="91">
        <v>22144.55</v>
      </c>
      <c r="L442" t="s">
        <v>709</v>
      </c>
      <c r="M442" t="s">
        <v>613</v>
      </c>
    </row>
    <row r="443" spans="1:13">
      <c r="A443" t="s">
        <v>1076</v>
      </c>
      <c r="B443" t="s">
        <v>564</v>
      </c>
      <c r="C443" s="1">
        <v>46007</v>
      </c>
      <c r="D443" t="s">
        <v>134</v>
      </c>
      <c r="E443" t="s">
        <v>135</v>
      </c>
      <c r="F443" t="s">
        <v>136</v>
      </c>
      <c r="G443" t="s">
        <v>101</v>
      </c>
      <c r="H443" t="s">
        <v>137</v>
      </c>
      <c r="I443" t="s">
        <v>138</v>
      </c>
      <c r="J443" s="91">
        <v>60103.904999999999</v>
      </c>
      <c r="K443" s="91">
        <v>30.867000000000001</v>
      </c>
      <c r="L443" t="s">
        <v>705</v>
      </c>
      <c r="M443" t="s">
        <v>613</v>
      </c>
    </row>
    <row r="444" spans="1:13">
      <c r="A444" t="s">
        <v>1077</v>
      </c>
      <c r="B444" t="s">
        <v>568</v>
      </c>
      <c r="C444" s="1">
        <v>46009</v>
      </c>
      <c r="D444" t="s">
        <v>26</v>
      </c>
      <c r="E444" t="s">
        <v>27</v>
      </c>
      <c r="F444" t="s">
        <v>28</v>
      </c>
      <c r="G444" t="s">
        <v>29</v>
      </c>
      <c r="H444" t="s">
        <v>149</v>
      </c>
      <c r="I444" t="s">
        <v>150</v>
      </c>
      <c r="J444" s="91">
        <v>19212.985000000001</v>
      </c>
      <c r="K444" s="91">
        <v>7.8E-2</v>
      </c>
      <c r="L444" t="s">
        <v>713</v>
      </c>
      <c r="M444" t="s">
        <v>613</v>
      </c>
    </row>
    <row r="445" spans="1:13">
      <c r="A445" t="s">
        <v>1078</v>
      </c>
      <c r="B445" t="s">
        <v>574</v>
      </c>
      <c r="C445" s="1">
        <v>46007</v>
      </c>
      <c r="D445" t="s">
        <v>117</v>
      </c>
      <c r="E445" t="s">
        <v>118</v>
      </c>
      <c r="F445" t="s">
        <v>119</v>
      </c>
      <c r="G445" t="s">
        <v>120</v>
      </c>
      <c r="H445" t="s">
        <v>137</v>
      </c>
      <c r="I445" t="s">
        <v>138</v>
      </c>
      <c r="J445" s="91">
        <v>12641229.801999999</v>
      </c>
      <c r="K445" s="91">
        <v>854.62</v>
      </c>
      <c r="L445" t="s">
        <v>707</v>
      </c>
      <c r="M445" t="s">
        <v>613</v>
      </c>
    </row>
    <row r="446" spans="1:13">
      <c r="A446" t="s">
        <v>1079</v>
      </c>
      <c r="B446" t="s">
        <v>575</v>
      </c>
      <c r="C446" s="1">
        <v>46010</v>
      </c>
      <c r="D446" t="s">
        <v>124</v>
      </c>
      <c r="E446" t="s">
        <v>125</v>
      </c>
      <c r="F446" t="s">
        <v>119</v>
      </c>
      <c r="G446" t="s">
        <v>126</v>
      </c>
      <c r="H446" t="s">
        <v>121</v>
      </c>
      <c r="I446" t="s">
        <v>122</v>
      </c>
      <c r="J446" s="91">
        <v>7377520.6560000004</v>
      </c>
      <c r="K446" s="91">
        <v>9296.6620000000003</v>
      </c>
      <c r="L446" t="s">
        <v>709</v>
      </c>
      <c r="M446" t="s">
        <v>613</v>
      </c>
    </row>
    <row r="447" spans="1:13">
      <c r="A447" t="s">
        <v>1080</v>
      </c>
      <c r="B447" t="s">
        <v>585</v>
      </c>
      <c r="C447" s="1">
        <v>46008</v>
      </c>
      <c r="D447" t="s">
        <v>47</v>
      </c>
      <c r="E447" t="s">
        <v>48</v>
      </c>
      <c r="F447" t="s">
        <v>49</v>
      </c>
      <c r="G447" t="s">
        <v>50</v>
      </c>
      <c r="H447" t="s">
        <v>51</v>
      </c>
      <c r="I447" t="s">
        <v>52</v>
      </c>
      <c r="J447" s="91">
        <v>143.4</v>
      </c>
      <c r="K447" s="91">
        <v>2.4E-2</v>
      </c>
      <c r="L447" t="s">
        <v>709</v>
      </c>
      <c r="M447" t="s">
        <v>613</v>
      </c>
    </row>
    <row r="448" spans="1:13">
      <c r="A448" t="s">
        <v>1081</v>
      </c>
      <c r="B448" t="s">
        <v>565</v>
      </c>
      <c r="C448" s="1">
        <v>46016</v>
      </c>
      <c r="D448" t="s">
        <v>47</v>
      </c>
      <c r="E448" t="s">
        <v>48</v>
      </c>
      <c r="F448" t="s">
        <v>49</v>
      </c>
      <c r="G448" t="s">
        <v>50</v>
      </c>
      <c r="H448" t="s">
        <v>51</v>
      </c>
      <c r="I448" t="s">
        <v>52</v>
      </c>
      <c r="J448" s="91">
        <v>116.26</v>
      </c>
      <c r="K448" s="91">
        <v>0.52</v>
      </c>
      <c r="L448" t="s">
        <v>705</v>
      </c>
      <c r="M448" t="s">
        <v>613</v>
      </c>
    </row>
    <row r="449" spans="1:13">
      <c r="A449" t="s">
        <v>1082</v>
      </c>
      <c r="B449" t="s">
        <v>580</v>
      </c>
      <c r="C449" s="1">
        <v>46016</v>
      </c>
      <c r="D449" t="s">
        <v>82</v>
      </c>
      <c r="E449" t="s">
        <v>83</v>
      </c>
      <c r="F449" t="s">
        <v>78</v>
      </c>
      <c r="G449" t="s">
        <v>84</v>
      </c>
      <c r="H449" t="s">
        <v>79</v>
      </c>
      <c r="I449" t="s">
        <v>80</v>
      </c>
      <c r="J449" s="91">
        <v>308.334</v>
      </c>
      <c r="K449" s="91">
        <v>4.5999999999999999E-2</v>
      </c>
      <c r="L449" t="s">
        <v>707</v>
      </c>
      <c r="M449" t="s">
        <v>613</v>
      </c>
    </row>
    <row r="450" spans="1:13">
      <c r="A450" t="s">
        <v>1083</v>
      </c>
      <c r="B450" t="s">
        <v>587</v>
      </c>
      <c r="C450" s="1">
        <v>46014</v>
      </c>
      <c r="D450" t="s">
        <v>68</v>
      </c>
      <c r="E450" t="s">
        <v>69</v>
      </c>
      <c r="F450" t="s">
        <v>43</v>
      </c>
      <c r="G450" t="s">
        <v>37</v>
      </c>
      <c r="H450" t="s">
        <v>70</v>
      </c>
      <c r="I450" t="s">
        <v>71</v>
      </c>
      <c r="J450" s="91">
        <v>143491.76999999999</v>
      </c>
      <c r="K450" s="91">
        <v>178.17</v>
      </c>
      <c r="L450" t="s">
        <v>709</v>
      </c>
      <c r="M450" t="s">
        <v>613</v>
      </c>
    </row>
    <row r="451" spans="1:13">
      <c r="A451" t="s">
        <v>1084</v>
      </c>
      <c r="B451" t="s">
        <v>599</v>
      </c>
      <c r="C451" s="1">
        <v>46019</v>
      </c>
      <c r="D451" t="s">
        <v>140</v>
      </c>
      <c r="E451" t="s">
        <v>141</v>
      </c>
      <c r="F451" t="s">
        <v>142</v>
      </c>
      <c r="G451" t="s">
        <v>84</v>
      </c>
      <c r="H451" t="s">
        <v>143</v>
      </c>
      <c r="I451" t="s">
        <v>144</v>
      </c>
      <c r="J451" s="91">
        <v>21253185.397999998</v>
      </c>
      <c r="K451" s="91">
        <v>4589.12</v>
      </c>
      <c r="L451" t="s">
        <v>705</v>
      </c>
      <c r="M451" t="s">
        <v>613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62419-1BD3-476A-99E4-202D205A7539}">
  <dimension ref="A1:P15"/>
  <sheetViews>
    <sheetView workbookViewId="0">
      <pane ySplit="1" topLeftCell="A2" activePane="bottomLeft" state="frozen"/>
      <selection pane="bottomLeft" activeCell="A2" sqref="A2"/>
    </sheetView>
  </sheetViews>
  <sheetFormatPr defaultRowHeight="15"/>
  <cols>
    <col min="1" max="1" width="11.140625" bestFit="1" customWidth="1"/>
    <col min="2" max="2" width="24.42578125" bestFit="1" customWidth="1"/>
    <col min="3" max="3" width="13.42578125" bestFit="1" customWidth="1"/>
    <col min="4" max="4" width="27.28515625" bestFit="1" customWidth="1"/>
    <col min="5" max="5" width="12.28515625" bestFit="1" customWidth="1"/>
    <col min="6" max="6" width="13.7109375" bestFit="1" customWidth="1"/>
    <col min="7" max="7" width="21.42578125" bestFit="1" customWidth="1"/>
    <col min="8" max="8" width="19.5703125" bestFit="1" customWidth="1"/>
    <col min="9" max="9" width="21.140625" bestFit="1" customWidth="1"/>
    <col min="10" max="10" width="21.28515625" bestFit="1" customWidth="1"/>
    <col min="11" max="11" width="21" bestFit="1" customWidth="1"/>
    <col min="12" max="12" width="25" bestFit="1" customWidth="1"/>
    <col min="13" max="13" width="25.5703125" bestFit="1" customWidth="1"/>
    <col min="14" max="14" width="19.7109375" bestFit="1" customWidth="1"/>
    <col min="15" max="15" width="22.42578125" bestFit="1" customWidth="1"/>
    <col min="16" max="16" width="14" bestFit="1" customWidth="1"/>
  </cols>
  <sheetData>
    <row r="1" spans="1:16">
      <c r="A1" t="s">
        <v>1097</v>
      </c>
      <c r="B1" t="s">
        <v>1098</v>
      </c>
      <c r="C1" t="s">
        <v>1</v>
      </c>
      <c r="D1" t="s">
        <v>2</v>
      </c>
      <c r="E1" t="s">
        <v>1099</v>
      </c>
      <c r="F1" t="s">
        <v>1100</v>
      </c>
      <c r="G1" t="s">
        <v>1101</v>
      </c>
      <c r="H1" t="s">
        <v>1102</v>
      </c>
      <c r="I1" t="s">
        <v>1103</v>
      </c>
      <c r="J1" t="s">
        <v>1104</v>
      </c>
      <c r="K1" t="s">
        <v>1105</v>
      </c>
      <c r="L1" t="s">
        <v>1106</v>
      </c>
      <c r="M1" t="s">
        <v>1107</v>
      </c>
      <c r="N1" t="s">
        <v>1108</v>
      </c>
      <c r="O1" t="s">
        <v>1109</v>
      </c>
      <c r="P1" t="s">
        <v>1110</v>
      </c>
    </row>
    <row r="2" spans="1:16">
      <c r="A2" t="s">
        <v>1111</v>
      </c>
      <c r="B2" t="s">
        <v>1112</v>
      </c>
      <c r="C2" t="s">
        <v>26</v>
      </c>
      <c r="D2" t="s">
        <v>27</v>
      </c>
      <c r="E2" s="1">
        <v>45537</v>
      </c>
      <c r="F2" s="1">
        <v>45579</v>
      </c>
      <c r="G2" t="s">
        <v>30</v>
      </c>
      <c r="H2" t="s">
        <v>149</v>
      </c>
      <c r="I2" s="85">
        <v>121.54</v>
      </c>
      <c r="J2" s="85">
        <v>104.01</v>
      </c>
      <c r="K2" s="86">
        <v>249600</v>
      </c>
      <c r="N2" s="87">
        <v>4375488</v>
      </c>
      <c r="O2" s="87">
        <v>0</v>
      </c>
      <c r="P2">
        <v>2024</v>
      </c>
    </row>
    <row r="3" spans="1:16">
      <c r="A3" t="s">
        <v>1113</v>
      </c>
      <c r="B3" t="s">
        <v>1112</v>
      </c>
      <c r="C3" t="s">
        <v>68</v>
      </c>
      <c r="D3" t="s">
        <v>69</v>
      </c>
      <c r="E3" s="1">
        <v>45565</v>
      </c>
      <c r="F3" s="1">
        <v>45607</v>
      </c>
      <c r="G3" t="s">
        <v>70</v>
      </c>
      <c r="H3" t="s">
        <v>44</v>
      </c>
      <c r="I3" s="85">
        <v>4.33</v>
      </c>
      <c r="J3" s="85">
        <v>4.05</v>
      </c>
      <c r="K3" s="86">
        <v>1497600</v>
      </c>
      <c r="N3" s="87">
        <v>419328.00000000035</v>
      </c>
      <c r="O3" s="87">
        <v>0</v>
      </c>
      <c r="P3">
        <v>2024</v>
      </c>
    </row>
    <row r="4" spans="1:16">
      <c r="A4" t="s">
        <v>1114</v>
      </c>
      <c r="B4" t="s">
        <v>1112</v>
      </c>
      <c r="C4" t="s">
        <v>54</v>
      </c>
      <c r="D4" t="s">
        <v>55</v>
      </c>
      <c r="E4" s="1">
        <v>45593</v>
      </c>
      <c r="F4" s="1">
        <v>45635</v>
      </c>
      <c r="G4" t="s">
        <v>57</v>
      </c>
      <c r="H4" t="s">
        <v>65</v>
      </c>
      <c r="I4" s="85">
        <v>28.84</v>
      </c>
      <c r="J4" s="85">
        <v>26.57</v>
      </c>
      <c r="K4" s="86">
        <v>224640</v>
      </c>
      <c r="N4" s="87">
        <v>509932.79999999993</v>
      </c>
      <c r="O4" s="87">
        <v>0</v>
      </c>
      <c r="P4">
        <v>2024</v>
      </c>
    </row>
    <row r="5" spans="1:16">
      <c r="A5" t="s">
        <v>1115</v>
      </c>
      <c r="B5" t="s">
        <v>1116</v>
      </c>
      <c r="C5" t="s">
        <v>76</v>
      </c>
      <c r="D5" t="s">
        <v>77</v>
      </c>
      <c r="E5" s="1">
        <v>45607</v>
      </c>
      <c r="F5" s="1">
        <v>45649</v>
      </c>
      <c r="G5" t="s">
        <v>79</v>
      </c>
      <c r="H5" t="s">
        <v>44</v>
      </c>
      <c r="I5" s="85">
        <v>39.14</v>
      </c>
      <c r="J5" s="85">
        <v>35.79</v>
      </c>
      <c r="K5" s="86">
        <v>149760</v>
      </c>
      <c r="N5" s="87">
        <v>501696.00000000023</v>
      </c>
      <c r="O5" s="87">
        <v>0</v>
      </c>
      <c r="P5">
        <v>2024</v>
      </c>
    </row>
    <row r="6" spans="1:16">
      <c r="A6" t="s">
        <v>1117</v>
      </c>
      <c r="B6" t="s">
        <v>1112</v>
      </c>
      <c r="C6" t="s">
        <v>111</v>
      </c>
      <c r="D6" t="s">
        <v>112</v>
      </c>
      <c r="E6" s="1">
        <v>45621</v>
      </c>
      <c r="F6" s="1">
        <v>45663</v>
      </c>
      <c r="G6" t="s">
        <v>114</v>
      </c>
      <c r="H6" t="s">
        <v>121</v>
      </c>
      <c r="I6" s="85">
        <v>0.1133</v>
      </c>
      <c r="J6" s="85">
        <v>9.6799999999999997E-2</v>
      </c>
      <c r="K6" s="86">
        <v>237424734</v>
      </c>
      <c r="N6" s="87">
        <v>3917508.111</v>
      </c>
      <c r="O6" s="87">
        <v>0</v>
      </c>
      <c r="P6">
        <v>2025</v>
      </c>
    </row>
    <row r="7" spans="1:16">
      <c r="A7" t="s">
        <v>1118</v>
      </c>
      <c r="B7" t="s">
        <v>1112</v>
      </c>
      <c r="C7" t="s">
        <v>117</v>
      </c>
      <c r="D7" t="s">
        <v>118</v>
      </c>
      <c r="E7" s="1">
        <v>45635</v>
      </c>
      <c r="F7" s="1">
        <v>45677</v>
      </c>
      <c r="G7" t="s">
        <v>121</v>
      </c>
      <c r="H7" t="s">
        <v>137</v>
      </c>
      <c r="I7" s="85">
        <v>4.1000000000000003E-3</v>
      </c>
      <c r="J7" s="85">
        <v>4.0000000000000001E-3</v>
      </c>
      <c r="K7" s="86">
        <v>142454840</v>
      </c>
      <c r="N7" s="87">
        <v>14245.484000000037</v>
      </c>
      <c r="O7" s="87">
        <v>0</v>
      </c>
      <c r="P7">
        <v>2025</v>
      </c>
    </row>
    <row r="8" spans="1:16">
      <c r="A8" t="s">
        <v>1119</v>
      </c>
      <c r="B8" t="s">
        <v>1116</v>
      </c>
      <c r="C8" t="s">
        <v>34</v>
      </c>
      <c r="D8" t="s">
        <v>35</v>
      </c>
      <c r="E8" s="1">
        <v>45663</v>
      </c>
      <c r="F8" s="1">
        <v>45705</v>
      </c>
      <c r="G8" t="s">
        <v>38</v>
      </c>
      <c r="H8" t="s">
        <v>515</v>
      </c>
      <c r="I8" s="85">
        <v>2472</v>
      </c>
      <c r="J8" s="85">
        <v>2365.75</v>
      </c>
      <c r="K8" s="86">
        <v>8736</v>
      </c>
      <c r="N8" s="87">
        <v>928200</v>
      </c>
      <c r="O8" s="87">
        <v>0</v>
      </c>
      <c r="P8">
        <v>2025</v>
      </c>
    </row>
    <row r="9" spans="1:16">
      <c r="A9" t="s">
        <v>1120</v>
      </c>
      <c r="B9" t="s">
        <v>1112</v>
      </c>
      <c r="C9" t="s">
        <v>41</v>
      </c>
      <c r="D9" t="s">
        <v>42</v>
      </c>
      <c r="E9" s="1">
        <v>45677</v>
      </c>
      <c r="F9" s="1">
        <v>45719</v>
      </c>
      <c r="G9" t="s">
        <v>44</v>
      </c>
      <c r="H9" t="s">
        <v>70</v>
      </c>
      <c r="I9" s="85">
        <v>9.7799999999999994</v>
      </c>
      <c r="J9" s="85">
        <v>8.82</v>
      </c>
      <c r="K9" s="86">
        <v>449280</v>
      </c>
      <c r="N9" s="87">
        <v>431308.79999999958</v>
      </c>
      <c r="O9" s="87">
        <v>0</v>
      </c>
      <c r="P9">
        <v>2025</v>
      </c>
    </row>
    <row r="10" spans="1:16">
      <c r="A10" t="s">
        <v>1121</v>
      </c>
      <c r="B10" t="s">
        <v>1112</v>
      </c>
      <c r="C10" t="s">
        <v>140</v>
      </c>
      <c r="D10" t="s">
        <v>141</v>
      </c>
      <c r="E10" s="1">
        <v>45705</v>
      </c>
      <c r="F10" s="1">
        <v>45747</v>
      </c>
      <c r="G10" t="s">
        <v>143</v>
      </c>
      <c r="H10" t="s">
        <v>121</v>
      </c>
      <c r="I10" s="85">
        <v>1.24E-2</v>
      </c>
      <c r="J10" s="85">
        <v>1.0800000000000001E-2</v>
      </c>
      <c r="K10" s="86">
        <v>237424734</v>
      </c>
      <c r="N10" s="87">
        <v>379879.57439999975</v>
      </c>
      <c r="O10" s="87">
        <v>0</v>
      </c>
      <c r="P10">
        <v>2025</v>
      </c>
    </row>
    <row r="11" spans="1:16">
      <c r="A11" t="s">
        <v>1122</v>
      </c>
      <c r="B11" t="s">
        <v>1123</v>
      </c>
      <c r="C11" t="s">
        <v>105</v>
      </c>
      <c r="D11" t="s">
        <v>106</v>
      </c>
      <c r="E11" s="1">
        <v>45733</v>
      </c>
      <c r="F11" s="1"/>
      <c r="G11" t="s">
        <v>108</v>
      </c>
      <c r="I11" s="85">
        <v>49440</v>
      </c>
      <c r="K11" s="86">
        <v>0</v>
      </c>
      <c r="N11" s="87">
        <v>0</v>
      </c>
      <c r="O11" s="87">
        <v>0</v>
      </c>
    </row>
    <row r="12" spans="1:16">
      <c r="A12" t="s">
        <v>1124</v>
      </c>
      <c r="B12" t="s">
        <v>1125</v>
      </c>
      <c r="C12" t="s">
        <v>60</v>
      </c>
      <c r="D12" t="s">
        <v>61</v>
      </c>
      <c r="E12" s="1">
        <v>45495</v>
      </c>
      <c r="F12" s="1">
        <v>45509</v>
      </c>
      <c r="G12" t="s">
        <v>57</v>
      </c>
      <c r="H12" t="s">
        <v>57</v>
      </c>
      <c r="I12" s="85">
        <v>410</v>
      </c>
      <c r="J12" s="85">
        <v>422.3</v>
      </c>
      <c r="K12" s="86">
        <v>19968</v>
      </c>
      <c r="L12" s="92">
        <v>0.09</v>
      </c>
      <c r="M12" s="92">
        <v>0.03</v>
      </c>
      <c r="N12" s="87">
        <v>0</v>
      </c>
      <c r="O12" s="87">
        <v>491212.79999999993</v>
      </c>
      <c r="P12">
        <v>2024</v>
      </c>
    </row>
    <row r="13" spans="1:16">
      <c r="A13" t="s">
        <v>1126</v>
      </c>
      <c r="B13" t="s">
        <v>1125</v>
      </c>
      <c r="C13" t="s">
        <v>86</v>
      </c>
      <c r="D13" t="s">
        <v>87</v>
      </c>
      <c r="E13" s="1">
        <v>45579</v>
      </c>
      <c r="F13" s="1">
        <v>45593</v>
      </c>
      <c r="G13" t="s">
        <v>89</v>
      </c>
      <c r="H13" t="s">
        <v>89</v>
      </c>
      <c r="I13" s="85">
        <v>9500</v>
      </c>
      <c r="J13" s="85">
        <v>9690</v>
      </c>
      <c r="K13" s="86">
        <v>150</v>
      </c>
      <c r="L13" s="92">
        <v>7.0000000000000007E-2</v>
      </c>
      <c r="M13" s="92">
        <v>0.02</v>
      </c>
      <c r="N13" s="87">
        <v>0</v>
      </c>
      <c r="O13" s="87">
        <v>71250</v>
      </c>
      <c r="P13">
        <v>2024</v>
      </c>
    </row>
    <row r="14" spans="1:16">
      <c r="A14" t="s">
        <v>1127</v>
      </c>
      <c r="B14" t="s">
        <v>1125</v>
      </c>
      <c r="C14" t="s">
        <v>92</v>
      </c>
      <c r="D14" t="s">
        <v>93</v>
      </c>
      <c r="E14" s="1">
        <v>45691</v>
      </c>
      <c r="F14" s="1">
        <v>45705</v>
      </c>
      <c r="G14" t="s">
        <v>95</v>
      </c>
      <c r="H14" t="s">
        <v>95</v>
      </c>
      <c r="I14" s="85">
        <v>3900</v>
      </c>
      <c r="J14" s="85">
        <v>4056</v>
      </c>
      <c r="K14" s="86">
        <v>998</v>
      </c>
      <c r="L14" s="92">
        <v>0.1</v>
      </c>
      <c r="M14" s="92">
        <v>0.04</v>
      </c>
      <c r="N14" s="87">
        <v>0</v>
      </c>
      <c r="O14" s="87">
        <v>233532.00000000003</v>
      </c>
      <c r="P14">
        <v>2025</v>
      </c>
    </row>
    <row r="15" spans="1:16">
      <c r="A15" t="s">
        <v>1128</v>
      </c>
      <c r="B15" t="s">
        <v>1125</v>
      </c>
      <c r="C15" t="s">
        <v>47</v>
      </c>
      <c r="D15" t="s">
        <v>48</v>
      </c>
      <c r="E15" s="1">
        <v>45775</v>
      </c>
      <c r="F15" s="1">
        <v>45789</v>
      </c>
      <c r="G15" t="s">
        <v>51</v>
      </c>
      <c r="H15" t="s">
        <v>51</v>
      </c>
      <c r="I15" s="85">
        <v>1850</v>
      </c>
      <c r="J15" s="85">
        <v>1961</v>
      </c>
      <c r="K15" s="86">
        <v>1498</v>
      </c>
      <c r="L15" s="92">
        <v>0.15</v>
      </c>
      <c r="M15" s="92">
        <v>0.06</v>
      </c>
      <c r="N15" s="87">
        <v>0</v>
      </c>
      <c r="O15" s="87">
        <v>249417</v>
      </c>
      <c r="P15">
        <v>2025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3FC02-0716-48BE-926E-22D0F1719359}">
  <dimension ref="A3:M25"/>
  <sheetViews>
    <sheetView workbookViewId="0">
      <selection activeCell="H21" sqref="H21:J21"/>
    </sheetView>
  </sheetViews>
  <sheetFormatPr defaultRowHeight="15"/>
  <cols>
    <col min="1" max="1" width="23.5703125" bestFit="1" customWidth="1"/>
    <col min="2" max="2" width="18.5703125" bestFit="1" customWidth="1"/>
    <col min="3" max="3" width="8.140625" bestFit="1" customWidth="1"/>
    <col min="4" max="4" width="9.28515625" bestFit="1" customWidth="1"/>
    <col min="5" max="6" width="8.140625" bestFit="1" customWidth="1"/>
    <col min="7" max="7" width="9.28515625" bestFit="1" customWidth="1"/>
    <col min="8" max="9" width="8.140625" bestFit="1" customWidth="1"/>
    <col min="10" max="10" width="9.28515625" bestFit="1" customWidth="1"/>
    <col min="11" max="11" width="11.140625" bestFit="1" customWidth="1"/>
    <col min="12" max="12" width="11.42578125" bestFit="1" customWidth="1"/>
    <col min="13" max="13" width="14.28515625" bestFit="1" customWidth="1"/>
  </cols>
  <sheetData>
    <row r="1" ht="21" customHeight="1">
      <c r="A1" t="s" s="49">
        <v>1229</v>
      </c>
    </row>
    <row r="2">
      <c r="A2" t="s" s="50">
        <v>1230</v>
      </c>
    </row>
    <row r="3" spans="1:13">
      <c r="A3" s="2"/>
      <c r="B3" s="3" t="s">
        <v>1199</v>
      </c>
      <c r="C3" s="2"/>
      <c r="D3" s="2"/>
      <c r="E3" s="2"/>
      <c r="F3" s="2"/>
      <c r="G3" s="2"/>
      <c r="H3" s="2"/>
      <c r="I3" s="2"/>
      <c r="J3" s="2"/>
      <c r="K3" s="2"/>
      <c r="L3" s="2"/>
      <c r="M3" s="2"/>
    </row>
    <row r="4" spans="1:13">
      <c r="A4" s="2"/>
      <c r="B4" s="2">
        <v>2023</v>
      </c>
      <c r="C4" s="2"/>
      <c r="D4" s="2"/>
      <c r="E4" s="2">
        <v>2024</v>
      </c>
      <c r="F4" s="2"/>
      <c r="G4" s="2"/>
      <c r="H4" s="2">
        <v>2025</v>
      </c>
      <c r="I4" s="2"/>
      <c r="J4" s="2"/>
      <c r="K4" s="2" t="s">
        <v>606</v>
      </c>
      <c r="L4" s="2" t="s">
        <v>607</v>
      </c>
      <c r="M4" s="2" t="s">
        <v>609</v>
      </c>
    </row>
    <row r="5" spans="1:13">
      <c r="A5" s="3" t="s">
        <v>1200</v>
      </c>
      <c r="B5" s="2" t="s">
        <v>605</v>
      </c>
      <c r="C5" s="2" t="s">
        <v>608</v>
      </c>
      <c r="D5" s="2" t="s">
        <v>610</v>
      </c>
      <c r="E5" s="2" t="s">
        <v>605</v>
      </c>
      <c r="F5" s="2" t="s">
        <v>608</v>
      </c>
      <c r="G5" s="2" t="s">
        <v>610</v>
      </c>
      <c r="H5" s="2" t="s">
        <v>605</v>
      </c>
      <c r="I5" s="2" t="s">
        <v>608</v>
      </c>
      <c r="J5" s="2" t="s">
        <v>610</v>
      </c>
      <c r="K5" s="2"/>
      <c r="L5" s="2"/>
      <c r="M5" s="2"/>
    </row>
    <row r="6" spans="1:13">
      <c r="A6" s="2" t="s">
        <v>144</v>
      </c>
      <c r="B6" s="52">
        <v>1</v>
      </c>
      <c r="C6" s="52">
        <v>0.66666666666666663</v>
      </c>
      <c r="D6" s="53">
        <v>3</v>
      </c>
      <c r="E6" s="52">
        <v>1</v>
      </c>
      <c r="F6" s="52">
        <v>1</v>
      </c>
      <c r="G6" s="53">
        <v>10</v>
      </c>
      <c r="H6" s="52">
        <v>1</v>
      </c>
      <c r="I6" s="52">
        <v>1</v>
      </c>
      <c r="J6" s="53">
        <v>5</v>
      </c>
      <c r="K6" s="4">
        <v>1</v>
      </c>
      <c r="L6" s="4">
        <v>0.94444444444444442</v>
      </c>
      <c r="M6" s="2">
        <v>18</v>
      </c>
    </row>
    <row r="7" spans="1:13">
      <c r="A7" s="2" t="s">
        <v>80</v>
      </c>
      <c r="B7" s="52">
        <v>1</v>
      </c>
      <c r="C7" s="52">
        <v>1</v>
      </c>
      <c r="D7" s="53">
        <v>6</v>
      </c>
      <c r="E7" s="52">
        <v>0.88888888888888884</v>
      </c>
      <c r="F7" s="52">
        <v>0.88888888888888884</v>
      </c>
      <c r="G7" s="53">
        <v>18</v>
      </c>
      <c r="H7" s="52">
        <v>0.90909090909090906</v>
      </c>
      <c r="I7" s="52">
        <v>0.81818181818181823</v>
      </c>
      <c r="J7" s="53">
        <v>11</v>
      </c>
      <c r="K7" s="4">
        <v>0.91428571428571426</v>
      </c>
      <c r="L7" s="4">
        <v>0.88571428571428568</v>
      </c>
      <c r="M7" s="2">
        <v>35</v>
      </c>
    </row>
    <row r="8" spans="1:13">
      <c r="A8" s="2" t="s">
        <v>52</v>
      </c>
      <c r="B8" s="52">
        <v>0.33333333333333331</v>
      </c>
      <c r="C8" s="52">
        <v>0.33333333333333331</v>
      </c>
      <c r="D8" s="53">
        <v>3</v>
      </c>
      <c r="E8" s="52">
        <v>0.8</v>
      </c>
      <c r="F8" s="52">
        <v>0.8</v>
      </c>
      <c r="G8" s="53">
        <v>10</v>
      </c>
      <c r="H8" s="52">
        <v>0.90909090909090906</v>
      </c>
      <c r="I8" s="52">
        <v>0.90909090909090906</v>
      </c>
      <c r="J8" s="53">
        <v>11</v>
      </c>
      <c r="K8" s="4">
        <v>0.79166666666666663</v>
      </c>
      <c r="L8" s="4">
        <v>0.79166666666666663</v>
      </c>
      <c r="M8" s="2">
        <v>24</v>
      </c>
    </row>
    <row r="9" spans="1:13">
      <c r="A9" s="2" t="s">
        <v>96</v>
      </c>
      <c r="B9" s="52">
        <v>0.66666666666666663</v>
      </c>
      <c r="C9" s="52">
        <v>0.33333333333333331</v>
      </c>
      <c r="D9" s="53">
        <v>3</v>
      </c>
      <c r="E9" s="52">
        <v>0.88888888888888884</v>
      </c>
      <c r="F9" s="52">
        <v>0.88888888888888884</v>
      </c>
      <c r="G9" s="53">
        <v>9</v>
      </c>
      <c r="H9" s="52">
        <v>0.81818181818181823</v>
      </c>
      <c r="I9" s="52">
        <v>0.72727272727272729</v>
      </c>
      <c r="J9" s="53">
        <v>11</v>
      </c>
      <c r="K9" s="4">
        <v>0.82608695652173914</v>
      </c>
      <c r="L9" s="4">
        <v>0.73913043478260865</v>
      </c>
      <c r="M9" s="2">
        <v>23</v>
      </c>
    </row>
    <row r="10" spans="1:13">
      <c r="A10" s="2" t="s">
        <v>150</v>
      </c>
      <c r="B10" s="52">
        <v>1</v>
      </c>
      <c r="C10" s="52">
        <v>1</v>
      </c>
      <c r="D10" s="53">
        <v>1</v>
      </c>
      <c r="E10" s="52">
        <v>0.8</v>
      </c>
      <c r="F10" s="52">
        <v>0.6</v>
      </c>
      <c r="G10" s="53">
        <v>5</v>
      </c>
      <c r="H10" s="52">
        <v>0.7142857142857143</v>
      </c>
      <c r="I10" s="52">
        <v>0.7142857142857143</v>
      </c>
      <c r="J10" s="53">
        <v>7</v>
      </c>
      <c r="K10" s="4">
        <v>0.76923076923076927</v>
      </c>
      <c r="L10" s="4">
        <v>0.69230769230769229</v>
      </c>
      <c r="M10" s="2">
        <v>13</v>
      </c>
    </row>
    <row r="11" spans="1:13">
      <c r="A11" s="2" t="s">
        <v>58</v>
      </c>
      <c r="B11" s="52">
        <v>1</v>
      </c>
      <c r="C11" s="52">
        <v>1</v>
      </c>
      <c r="D11" s="53">
        <v>6</v>
      </c>
      <c r="E11" s="52">
        <v>0.8125</v>
      </c>
      <c r="F11" s="52">
        <v>0.75</v>
      </c>
      <c r="G11" s="53">
        <v>16</v>
      </c>
      <c r="H11" s="52">
        <v>0.90909090909090906</v>
      </c>
      <c r="I11" s="52">
        <v>0.81818181818181823</v>
      </c>
      <c r="J11" s="53">
        <v>11</v>
      </c>
      <c r="K11" s="4">
        <v>0.87878787878787878</v>
      </c>
      <c r="L11" s="4">
        <v>0.81818181818181823</v>
      </c>
      <c r="M11" s="2">
        <v>33</v>
      </c>
    </row>
    <row r="12" spans="1:13">
      <c r="A12" s="2" t="s">
        <v>39</v>
      </c>
      <c r="B12" s="52">
        <v>1</v>
      </c>
      <c r="C12" s="52">
        <v>1</v>
      </c>
      <c r="D12" s="53">
        <v>3</v>
      </c>
      <c r="E12" s="52">
        <v>0.66666666666666663</v>
      </c>
      <c r="F12" s="52">
        <v>0.66666666666666663</v>
      </c>
      <c r="G12" s="53">
        <v>9</v>
      </c>
      <c r="H12" s="52">
        <v>1</v>
      </c>
      <c r="I12" s="52">
        <v>1</v>
      </c>
      <c r="J12" s="53">
        <v>3</v>
      </c>
      <c r="K12" s="4">
        <v>0.8</v>
      </c>
      <c r="L12" s="4">
        <v>0.8</v>
      </c>
      <c r="M12" s="2">
        <v>15</v>
      </c>
    </row>
    <row r="13" spans="1:13">
      <c r="A13" s="2" t="s">
        <v>115</v>
      </c>
      <c r="B13" s="52">
        <v>0.33333333333333331</v>
      </c>
      <c r="C13" s="52">
        <v>0.33333333333333331</v>
      </c>
      <c r="D13" s="53">
        <v>3</v>
      </c>
      <c r="E13" s="52">
        <v>0.7</v>
      </c>
      <c r="F13" s="52">
        <v>0.7</v>
      </c>
      <c r="G13" s="53">
        <v>10</v>
      </c>
      <c r="H13" s="52">
        <v>0.66666666666666663</v>
      </c>
      <c r="I13" s="52">
        <v>0.66666666666666663</v>
      </c>
      <c r="J13" s="53">
        <v>3</v>
      </c>
      <c r="K13" s="4">
        <v>0.625</v>
      </c>
      <c r="L13" s="4">
        <v>0.625</v>
      </c>
      <c r="M13" s="2">
        <v>16</v>
      </c>
    </row>
    <row r="14" spans="1:13">
      <c r="A14" s="2" t="s">
        <v>31</v>
      </c>
      <c r="B14" s="52">
        <v>1</v>
      </c>
      <c r="C14" s="52">
        <v>1</v>
      </c>
      <c r="D14" s="53">
        <v>2</v>
      </c>
      <c r="E14" s="52">
        <v>0.25</v>
      </c>
      <c r="F14" s="52">
        <v>0.25</v>
      </c>
      <c r="G14" s="53">
        <v>4</v>
      </c>
      <c r="H14" s="52">
        <v>0.66666666666666663</v>
      </c>
      <c r="I14" s="52">
        <v>0.66666666666666663</v>
      </c>
      <c r="J14" s="53">
        <v>3</v>
      </c>
      <c r="K14" s="4">
        <v>0.55555555555555558</v>
      </c>
      <c r="L14" s="4">
        <v>0.55555555555555558</v>
      </c>
      <c r="M14" s="2">
        <v>9</v>
      </c>
    </row>
    <row r="15" spans="1:13">
      <c r="A15" s="2" t="s">
        <v>138</v>
      </c>
      <c r="B15" s="52">
        <v>1</v>
      </c>
      <c r="C15" s="52">
        <v>1</v>
      </c>
      <c r="D15" s="53">
        <v>3</v>
      </c>
      <c r="E15" s="52">
        <v>0.8</v>
      </c>
      <c r="F15" s="52">
        <v>0.8</v>
      </c>
      <c r="G15" s="53">
        <v>10</v>
      </c>
      <c r="H15" s="52">
        <v>0.96</v>
      </c>
      <c r="I15" s="52">
        <v>0.96</v>
      </c>
      <c r="J15" s="53">
        <v>25</v>
      </c>
      <c r="K15" s="4">
        <v>0.92105263157894735</v>
      </c>
      <c r="L15" s="4">
        <v>0.92105263157894735</v>
      </c>
      <c r="M15" s="2">
        <v>38</v>
      </c>
    </row>
    <row r="16" spans="1:13">
      <c r="A16" s="2" t="s">
        <v>66</v>
      </c>
      <c r="B16" s="52">
        <v>1</v>
      </c>
      <c r="C16" s="52">
        <v>1</v>
      </c>
      <c r="D16" s="53">
        <v>3</v>
      </c>
      <c r="E16" s="52">
        <v>1</v>
      </c>
      <c r="F16" s="52">
        <v>0.81818181818181823</v>
      </c>
      <c r="G16" s="53">
        <v>11</v>
      </c>
      <c r="H16" s="52">
        <v>0.94736842105263153</v>
      </c>
      <c r="I16" s="52">
        <v>0.94736842105263153</v>
      </c>
      <c r="J16" s="53">
        <v>19</v>
      </c>
      <c r="K16" s="4">
        <v>0.96969696969696972</v>
      </c>
      <c r="L16" s="4">
        <v>0.90909090909090906</v>
      </c>
      <c r="M16" s="2">
        <v>33</v>
      </c>
    </row>
    <row r="17" spans="1:13">
      <c r="A17" s="2" t="s">
        <v>45</v>
      </c>
      <c r="B17" s="52">
        <v>0.75</v>
      </c>
      <c r="C17" s="52">
        <v>0.75</v>
      </c>
      <c r="D17" s="53">
        <v>4</v>
      </c>
      <c r="E17" s="52">
        <v>0.9</v>
      </c>
      <c r="F17" s="52">
        <v>0.9</v>
      </c>
      <c r="G17" s="53">
        <v>10</v>
      </c>
      <c r="H17" s="52">
        <v>0.95652173913043481</v>
      </c>
      <c r="I17" s="52">
        <v>0.91304347826086951</v>
      </c>
      <c r="J17" s="53">
        <v>23</v>
      </c>
      <c r="K17" s="4">
        <v>0.91891891891891897</v>
      </c>
      <c r="L17" s="4">
        <v>0.89189189189189189</v>
      </c>
      <c r="M17" s="2">
        <v>37</v>
      </c>
    </row>
    <row r="18" spans="1:13">
      <c r="A18" s="2" t="s">
        <v>122</v>
      </c>
      <c r="B18" s="52">
        <v>0.83333333333333337</v>
      </c>
      <c r="C18" s="52">
        <v>0.83333333333333337</v>
      </c>
      <c r="D18" s="53">
        <v>6</v>
      </c>
      <c r="E18" s="52">
        <v>0.75</v>
      </c>
      <c r="F18" s="52">
        <v>0.75</v>
      </c>
      <c r="G18" s="53">
        <v>20</v>
      </c>
      <c r="H18" s="52">
        <v>0.8571428571428571</v>
      </c>
      <c r="I18" s="52">
        <v>0.8214285714285714</v>
      </c>
      <c r="J18" s="53">
        <v>28</v>
      </c>
      <c r="K18" s="4">
        <v>0.81481481481481477</v>
      </c>
      <c r="L18" s="4">
        <v>0.79629629629629628</v>
      </c>
      <c r="M18" s="2">
        <v>54</v>
      </c>
    </row>
    <row r="19" spans="1:13">
      <c r="A19" s="2" t="s">
        <v>132</v>
      </c>
      <c r="B19" s="52">
        <v>1</v>
      </c>
      <c r="C19" s="52">
        <v>1</v>
      </c>
      <c r="D19" s="53">
        <v>1</v>
      </c>
      <c r="E19" s="52">
        <v>0.66666666666666663</v>
      </c>
      <c r="F19" s="52">
        <v>0.66666666666666663</v>
      </c>
      <c r="G19" s="53">
        <v>6</v>
      </c>
      <c r="H19" s="52">
        <v>1</v>
      </c>
      <c r="I19" s="52">
        <v>0.875</v>
      </c>
      <c r="J19" s="53">
        <v>8</v>
      </c>
      <c r="K19" s="4">
        <v>0.8666666666666667</v>
      </c>
      <c r="L19" s="4">
        <v>0.8</v>
      </c>
      <c r="M19" s="2">
        <v>15</v>
      </c>
    </row>
    <row r="20" spans="1:13">
      <c r="A20" s="2" t="s">
        <v>103</v>
      </c>
      <c r="B20" s="52">
        <v>0.66666666666666663</v>
      </c>
      <c r="C20" s="52">
        <v>0.66666666666666663</v>
      </c>
      <c r="D20" s="53">
        <v>3</v>
      </c>
      <c r="E20" s="52">
        <v>0.66666666666666663</v>
      </c>
      <c r="F20" s="52">
        <v>0.66666666666666663</v>
      </c>
      <c r="G20" s="53">
        <v>9</v>
      </c>
      <c r="H20" s="52">
        <v>0.8</v>
      </c>
      <c r="I20" s="52">
        <v>0.6</v>
      </c>
      <c r="J20" s="53">
        <v>10</v>
      </c>
      <c r="K20" s="4">
        <v>0.72727272727272729</v>
      </c>
      <c r="L20" s="4">
        <v>0.63636363636363635</v>
      </c>
      <c r="M20" s="2">
        <v>22</v>
      </c>
    </row>
    <row r="21" spans="1:13">
      <c r="A21" s="2" t="s">
        <v>516</v>
      </c>
      <c r="B21" s="52"/>
      <c r="C21" s="52"/>
      <c r="D21" s="53"/>
      <c r="E21" s="52"/>
      <c r="F21" s="52"/>
      <c r="G21" s="53"/>
      <c r="H21" s="52">
        <v>1</v>
      </c>
      <c r="I21" s="52">
        <v>0.5</v>
      </c>
      <c r="J21" s="53">
        <v>2</v>
      </c>
      <c r="K21" s="4">
        <v>1</v>
      </c>
      <c r="L21" s="4">
        <v>0.5</v>
      </c>
      <c r="M21" s="2">
        <v>2</v>
      </c>
    </row>
    <row r="22" spans="1:13">
      <c r="A22" s="2" t="s">
        <v>90</v>
      </c>
      <c r="B22" s="52">
        <v>1</v>
      </c>
      <c r="C22" s="52">
        <v>1</v>
      </c>
      <c r="D22" s="53">
        <v>3</v>
      </c>
      <c r="E22" s="52">
        <v>1</v>
      </c>
      <c r="F22" s="52">
        <v>1</v>
      </c>
      <c r="G22" s="53">
        <v>9</v>
      </c>
      <c r="H22" s="52">
        <v>1</v>
      </c>
      <c r="I22" s="52">
        <v>1</v>
      </c>
      <c r="J22" s="53">
        <v>9</v>
      </c>
      <c r="K22" s="4">
        <v>1</v>
      </c>
      <c r="L22" s="4">
        <v>1</v>
      </c>
      <c r="M22" s="2">
        <v>21</v>
      </c>
    </row>
    <row r="23" spans="1:13">
      <c r="A23" s="2" t="s">
        <v>71</v>
      </c>
      <c r="B23" s="52">
        <v>0.6</v>
      </c>
      <c r="C23" s="52">
        <v>0.6</v>
      </c>
      <c r="D23" s="53">
        <v>5</v>
      </c>
      <c r="E23" s="52">
        <v>0.70588235294117652</v>
      </c>
      <c r="F23" s="52">
        <v>0.6470588235294118</v>
      </c>
      <c r="G23" s="53">
        <v>17</v>
      </c>
      <c r="H23" s="52">
        <v>0.94117647058823528</v>
      </c>
      <c r="I23" s="52">
        <v>0.94117647058823528</v>
      </c>
      <c r="J23" s="53">
        <v>17</v>
      </c>
      <c r="K23" s="4">
        <v>0.79487179487179482</v>
      </c>
      <c r="L23" s="4">
        <v>0.76923076923076927</v>
      </c>
      <c r="M23" s="2">
        <v>39</v>
      </c>
    </row>
    <row r="24" spans="1:13">
      <c r="A24" s="2" t="s">
        <v>109</v>
      </c>
      <c r="B24" s="52">
        <v>1</v>
      </c>
      <c r="C24" s="52">
        <v>1</v>
      </c>
      <c r="D24" s="53">
        <v>4</v>
      </c>
      <c r="E24" s="52">
        <v>1</v>
      </c>
      <c r="F24" s="52">
        <v>0.90909090909090906</v>
      </c>
      <c r="G24" s="53">
        <v>11</v>
      </c>
      <c r="H24" s="52">
        <v>0.8</v>
      </c>
      <c r="I24" s="52">
        <v>0.8</v>
      </c>
      <c r="J24" s="53">
        <v>10</v>
      </c>
      <c r="K24" s="4">
        <v>0.92</v>
      </c>
      <c r="L24" s="4">
        <v>0.88</v>
      </c>
      <c r="M24" s="2">
        <v>25</v>
      </c>
    </row>
    <row r="25" spans="1:13">
      <c r="A25" s="2" t="s">
        <v>603</v>
      </c>
      <c r="B25" s="52">
        <v>0.83870967741935487</v>
      </c>
      <c r="C25" s="52">
        <v>0.80645161290322576</v>
      </c>
      <c r="D25" s="53">
        <v>62</v>
      </c>
      <c r="E25" s="52">
        <v>0.81443298969072164</v>
      </c>
      <c r="F25" s="52">
        <v>0.78350515463917525</v>
      </c>
      <c r="G25" s="53">
        <v>194</v>
      </c>
      <c r="H25" s="52">
        <v>0.90277777777777779</v>
      </c>
      <c r="I25" s="52">
        <v>0.86111111111111116</v>
      </c>
      <c r="J25" s="53">
        <v>216</v>
      </c>
      <c r="K25" s="4">
        <v>0.85805084745762716</v>
      </c>
      <c r="L25" s="4">
        <v>0.82203389830508478</v>
      </c>
      <c r="M25" s="2">
        <v>472</v>
      </c>
    </row>
  </sheetData>
  <pageMargins left="0.7" right="0.7" top="0.75" bottom="0.75" header="0.3" footer="0.3"/>
  <pageSetup orientation="portrait" horizontalDpi="1200" verticalDpi="1200" r:id="rId2"/>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38721-362F-4B65-B1EB-AC9A526CD77D}">
  <dimension ref="A1:K23"/>
  <sheetViews>
    <sheetView workbookViewId="0">
      <selection activeCell="E39" sqref="E39"/>
    </sheetView>
  </sheetViews>
  <sheetFormatPr defaultRowHeight="15"/>
  <cols>
    <col min="1" max="1" width="23.5703125" style="2" bestFit="1" customWidth="1"/>
    <col min="2" max="2" width="30.85546875" style="2" bestFit="1" customWidth="1"/>
    <col min="3" max="3" width="28.7109375" style="2" bestFit="1" customWidth="1"/>
    <col min="4" max="4" width="8" style="2" bestFit="1" customWidth="1"/>
    <col min="5" max="5" width="35.42578125" style="2" bestFit="1" customWidth="1"/>
    <col min="6" max="6" width="8.85546875" style="2" bestFit="1" customWidth="1"/>
    <col min="7" max="7" width="22.85546875" style="2" bestFit="1" customWidth="1"/>
    <col min="8" max="8" width="22.28515625" style="2" bestFit="1" customWidth="1"/>
    <col min="9" max="9" width="14.7109375" style="2" bestFit="1" customWidth="1"/>
    <col min="10" max="10" width="6.140625" style="2" bestFit="1" customWidth="1"/>
    <col min="11" max="11" width="40.7109375" style="2" bestFit="1" customWidth="1"/>
    <col min="12" max="12" width="22.7109375" style="2" bestFit="1" customWidth="1"/>
    <col min="13" max="13" width="23.7109375" style="2" bestFit="1" customWidth="1"/>
    <col min="14" max="14" width="22.7109375" style="2" bestFit="1" customWidth="1"/>
    <col min="15" max="15" width="23.7109375" style="2" bestFit="1" customWidth="1"/>
    <col min="16" max="16" width="22.7109375" style="2" bestFit="1" customWidth="1"/>
    <col min="17" max="17" width="23.7109375" style="2" bestFit="1" customWidth="1"/>
    <col min="18" max="18" width="22.7109375" style="2" bestFit="1" customWidth="1"/>
    <col min="19" max="19" width="23.7109375" style="2" bestFit="1" customWidth="1"/>
    <col min="20" max="20" width="22.7109375" style="2" bestFit="1" customWidth="1"/>
    <col min="21" max="21" width="23.7109375" style="2" bestFit="1" customWidth="1"/>
    <col min="22" max="22" width="22.7109375" style="2" bestFit="1" customWidth="1"/>
    <col min="23" max="23" width="23.7109375" style="2" bestFit="1" customWidth="1"/>
    <col min="24" max="24" width="22.7109375" style="2" bestFit="1" customWidth="1"/>
    <col min="25" max="25" width="23.7109375" style="2" bestFit="1" customWidth="1"/>
    <col min="26" max="26" width="22.7109375" style="2" bestFit="1" customWidth="1"/>
    <col min="27" max="27" width="23.7109375" style="2" bestFit="1" customWidth="1"/>
    <col min="28" max="28" width="22.7109375" style="2" bestFit="1" customWidth="1"/>
    <col min="29" max="29" width="23.7109375" style="2" bestFit="1" customWidth="1"/>
    <col min="30" max="30" width="22.7109375" style="2" bestFit="1" customWidth="1"/>
    <col min="31" max="31" width="23.7109375" style="2" bestFit="1" customWidth="1"/>
    <col min="32" max="32" width="22.7109375" style="2" bestFit="1" customWidth="1"/>
    <col min="33" max="33" width="23.7109375" style="2" bestFit="1" customWidth="1"/>
    <col min="34" max="34" width="22.7109375" style="2" bestFit="1" customWidth="1"/>
    <col min="35" max="35" width="23.7109375" style="2" bestFit="1" customWidth="1"/>
    <col min="36" max="36" width="22.7109375" style="2" bestFit="1" customWidth="1"/>
    <col min="37" max="37" width="23.7109375" style="2" bestFit="1" customWidth="1"/>
    <col min="38" max="38" width="22.7109375" style="2" bestFit="1" customWidth="1"/>
    <col min="39" max="39" width="23.7109375" style="2" bestFit="1" customWidth="1"/>
    <col min="40" max="40" width="22.7109375" style="2" bestFit="1" customWidth="1"/>
    <col min="41" max="41" width="23.7109375" style="2" bestFit="1" customWidth="1"/>
    <col min="42" max="42" width="22.7109375" style="2" bestFit="1" customWidth="1"/>
    <col min="43" max="43" width="23.7109375" style="2" bestFit="1" customWidth="1"/>
    <col min="44" max="44" width="22.7109375" style="2" bestFit="1" customWidth="1"/>
    <col min="45" max="45" width="23.7109375" style="2" bestFit="1" customWidth="1"/>
    <col min="46" max="46" width="22.7109375" style="2" bestFit="1" customWidth="1"/>
    <col min="47" max="47" width="23.7109375" style="2" bestFit="1" customWidth="1"/>
    <col min="48" max="48" width="22.7109375" style="2" bestFit="1" customWidth="1"/>
    <col min="49" max="49" width="23.7109375" style="2" bestFit="1" customWidth="1"/>
    <col min="50" max="50" width="22.7109375" style="2" bestFit="1" customWidth="1"/>
    <col min="51" max="51" width="23.7109375" style="2" bestFit="1" customWidth="1"/>
    <col min="52" max="52" width="22.7109375" style="2" bestFit="1" customWidth="1"/>
    <col min="53" max="53" width="23.7109375" style="2" bestFit="1" customWidth="1"/>
    <col min="54" max="54" width="22.7109375" style="2" bestFit="1" customWidth="1"/>
    <col min="55" max="55" width="23.7109375" style="2" bestFit="1" customWidth="1"/>
    <col min="56" max="56" width="22.7109375" style="2" bestFit="1" customWidth="1"/>
    <col min="57" max="57" width="23.7109375" style="2" bestFit="1" customWidth="1"/>
    <col min="58" max="58" width="22.7109375" style="2" bestFit="1" customWidth="1"/>
    <col min="59" max="59" width="23.7109375" style="2" bestFit="1" customWidth="1"/>
    <col min="60" max="60" width="22.7109375" style="2" bestFit="1" customWidth="1"/>
    <col min="61" max="61" width="23.7109375" style="2" bestFit="1" customWidth="1"/>
    <col min="62" max="62" width="22.7109375" style="2" bestFit="1" customWidth="1"/>
    <col min="63" max="63" width="23.7109375" style="2" bestFit="1" customWidth="1"/>
    <col min="64" max="64" width="22.7109375" style="2" bestFit="1" customWidth="1"/>
    <col min="65" max="65" width="23.7109375" style="2" bestFit="1" customWidth="1"/>
    <col min="66" max="66" width="22.7109375" style="2" bestFit="1" customWidth="1"/>
    <col min="67" max="67" width="23.7109375" style="2" bestFit="1" customWidth="1"/>
    <col min="68" max="68" width="22.7109375" style="2" bestFit="1" customWidth="1"/>
    <col min="69" max="69" width="23.7109375" style="2" bestFit="1" customWidth="1"/>
    <col min="70" max="70" width="22.7109375" style="2" bestFit="1" customWidth="1"/>
    <col min="71" max="71" width="23.7109375" style="2" bestFit="1" customWidth="1"/>
    <col min="72" max="72" width="22.7109375" style="2" bestFit="1" customWidth="1"/>
    <col min="73" max="73" width="23.7109375" style="2" bestFit="1" customWidth="1"/>
    <col min="74" max="74" width="22.7109375" style="2" bestFit="1" customWidth="1"/>
    <col min="75" max="75" width="23.7109375" style="2" bestFit="1" customWidth="1"/>
    <col min="76" max="76" width="27.28515625" style="2" bestFit="1" customWidth="1"/>
    <col min="77" max="77" width="28.28515625" style="2" bestFit="1" customWidth="1"/>
    <col min="78" max="78" width="22.7109375" style="2" bestFit="1" customWidth="1"/>
    <col min="79" max="79" width="23.7109375" style="2" bestFit="1" customWidth="1"/>
    <col min="80" max="80" width="22.7109375" style="2" bestFit="1" customWidth="1"/>
    <col min="81" max="81" width="23.7109375" style="2" bestFit="1" customWidth="1"/>
    <col min="82" max="82" width="22.7109375" style="2" bestFit="1" customWidth="1"/>
    <col min="83" max="83" width="23.7109375" style="2" bestFit="1" customWidth="1"/>
    <col min="84" max="84" width="22.7109375" style="2" bestFit="1" customWidth="1"/>
    <col min="85" max="85" width="23.7109375" style="2" bestFit="1" customWidth="1"/>
    <col min="86" max="86" width="22.7109375" style="2" bestFit="1" customWidth="1"/>
    <col min="87" max="87" width="23.7109375" style="2" bestFit="1" customWidth="1"/>
    <col min="88" max="88" width="22.7109375" style="2" bestFit="1" customWidth="1"/>
    <col min="89" max="89" width="23.7109375" style="2" bestFit="1" customWidth="1"/>
    <col min="90" max="90" width="22.7109375" style="2" bestFit="1" customWidth="1"/>
    <col min="91" max="91" width="23.7109375" style="2" bestFit="1" customWidth="1"/>
    <col min="92" max="92" width="22.7109375" style="2" bestFit="1" customWidth="1"/>
    <col min="93" max="93" width="23.7109375" style="2" bestFit="1" customWidth="1"/>
    <col min="94" max="94" width="22.7109375" style="2" bestFit="1" customWidth="1"/>
    <col min="95" max="95" width="23.7109375" style="2" bestFit="1" customWidth="1"/>
    <col min="96" max="96" width="22.7109375" style="2" bestFit="1" customWidth="1"/>
    <col min="97" max="97" width="23.7109375" style="2" bestFit="1" customWidth="1"/>
    <col min="98" max="98" width="22.7109375" style="2" bestFit="1" customWidth="1"/>
    <col min="99" max="99" width="23.7109375" style="2" bestFit="1" customWidth="1"/>
    <col min="100" max="100" width="22.7109375" style="2" bestFit="1" customWidth="1"/>
    <col min="101" max="101" width="23.7109375" style="2" bestFit="1" customWidth="1"/>
    <col min="102" max="102" width="22.7109375" style="2" bestFit="1" customWidth="1"/>
    <col min="103" max="103" width="23.7109375" style="2" bestFit="1" customWidth="1"/>
    <col min="104" max="104" width="22.7109375" style="2" bestFit="1" customWidth="1"/>
    <col min="105" max="105" width="23.7109375" style="2" bestFit="1" customWidth="1"/>
    <col min="106" max="106" width="22.7109375" style="2" bestFit="1" customWidth="1"/>
    <col min="107" max="107" width="23.7109375" style="2" bestFit="1" customWidth="1"/>
    <col min="108" max="108" width="22.7109375" style="2" bestFit="1" customWidth="1"/>
    <col min="109" max="109" width="23.7109375" style="2" bestFit="1" customWidth="1"/>
    <col min="110" max="110" width="22.7109375" style="2" bestFit="1" customWidth="1"/>
    <col min="111" max="111" width="23.7109375" style="2" bestFit="1" customWidth="1"/>
    <col min="112" max="112" width="22.7109375" style="2" bestFit="1" customWidth="1"/>
    <col min="113" max="113" width="23.7109375" style="2" bestFit="1" customWidth="1"/>
    <col min="114" max="114" width="22.7109375" style="2" bestFit="1" customWidth="1"/>
    <col min="115" max="115" width="23.7109375" style="2" bestFit="1" customWidth="1"/>
    <col min="116" max="116" width="22.7109375" style="2" bestFit="1" customWidth="1"/>
    <col min="117" max="117" width="23.7109375" style="2" bestFit="1" customWidth="1"/>
    <col min="118" max="118" width="22.7109375" style="2" bestFit="1" customWidth="1"/>
    <col min="119" max="119" width="23.7109375" style="2" bestFit="1" customWidth="1"/>
    <col min="120" max="120" width="22.7109375" style="2" bestFit="1" customWidth="1"/>
    <col min="121" max="121" width="23.7109375" style="2" bestFit="1" customWidth="1"/>
    <col min="122" max="122" width="22.7109375" style="2" bestFit="1" customWidth="1"/>
    <col min="123" max="123" width="23.7109375" style="2" bestFit="1" customWidth="1"/>
    <col min="124" max="124" width="22.7109375" style="2" bestFit="1" customWidth="1"/>
    <col min="125" max="125" width="23.7109375" style="2" bestFit="1" customWidth="1"/>
    <col min="126" max="126" width="22.7109375" style="2" bestFit="1" customWidth="1"/>
    <col min="127" max="127" width="23.7109375" style="2" bestFit="1" customWidth="1"/>
    <col min="128" max="128" width="22.7109375" style="2" bestFit="1" customWidth="1"/>
    <col min="129" max="129" width="23.7109375" style="2" bestFit="1" customWidth="1"/>
    <col min="130" max="130" width="22.7109375" style="2" bestFit="1" customWidth="1"/>
    <col min="131" max="131" width="23.7109375" style="2" bestFit="1" customWidth="1"/>
    <col min="132" max="132" width="22.7109375" style="2" bestFit="1" customWidth="1"/>
    <col min="133" max="133" width="23.7109375" style="2" bestFit="1" customWidth="1"/>
    <col min="134" max="134" width="22.7109375" style="2" bestFit="1" customWidth="1"/>
    <col min="135" max="135" width="23.7109375" style="2" bestFit="1" customWidth="1"/>
    <col min="136" max="136" width="22.7109375" style="2" bestFit="1" customWidth="1"/>
    <col min="137" max="137" width="23.7109375" style="2" bestFit="1" customWidth="1"/>
    <col min="138" max="138" width="22.7109375" style="2" bestFit="1" customWidth="1"/>
    <col min="139" max="139" width="23.7109375" style="2" bestFit="1" customWidth="1"/>
    <col min="140" max="140" width="22.7109375" style="2" bestFit="1" customWidth="1"/>
    <col min="141" max="141" width="23.7109375" style="2" bestFit="1" customWidth="1"/>
    <col min="142" max="142" width="22.7109375" style="2" bestFit="1" customWidth="1"/>
    <col min="143" max="143" width="23.7109375" style="2" bestFit="1" customWidth="1"/>
    <col min="144" max="144" width="22.7109375" style="2" bestFit="1" customWidth="1"/>
    <col min="145" max="145" width="23.7109375" style="2" bestFit="1" customWidth="1"/>
    <col min="146" max="146" width="22.7109375" style="2" bestFit="1" customWidth="1"/>
    <col min="147" max="147" width="23.7109375" style="2" bestFit="1" customWidth="1"/>
    <col min="148" max="148" width="22.7109375" style="2" bestFit="1" customWidth="1"/>
    <col min="149" max="149" width="23.7109375" style="2" bestFit="1" customWidth="1"/>
    <col min="150" max="150" width="22.7109375" style="2" bestFit="1" customWidth="1"/>
    <col min="151" max="151" width="23.7109375" style="2" bestFit="1" customWidth="1"/>
    <col min="152" max="152" width="22.7109375" style="2" bestFit="1" customWidth="1"/>
    <col min="153" max="153" width="23.7109375" style="2" bestFit="1" customWidth="1"/>
    <col min="154" max="154" width="22.7109375" style="2" bestFit="1" customWidth="1"/>
    <col min="155" max="155" width="23.7109375" style="2" bestFit="1" customWidth="1"/>
    <col min="156" max="156" width="22.7109375" style="2" bestFit="1" customWidth="1"/>
    <col min="157" max="157" width="23.7109375" style="2" bestFit="1" customWidth="1"/>
    <col min="158" max="158" width="22.7109375" style="2" bestFit="1" customWidth="1"/>
    <col min="159" max="159" width="23.7109375" style="2" bestFit="1" customWidth="1"/>
    <col min="160" max="160" width="22.7109375" style="2" bestFit="1" customWidth="1"/>
    <col min="161" max="161" width="23.7109375" style="2" bestFit="1" customWidth="1"/>
    <col min="162" max="162" width="22.7109375" style="2" bestFit="1" customWidth="1"/>
    <col min="163" max="163" width="23.7109375" style="2" bestFit="1" customWidth="1"/>
    <col min="164" max="164" width="22.7109375" style="2" bestFit="1" customWidth="1"/>
    <col min="165" max="165" width="23.7109375" style="2" bestFit="1" customWidth="1"/>
    <col min="166" max="166" width="22.7109375" style="2" bestFit="1" customWidth="1"/>
    <col min="167" max="167" width="23.7109375" style="2" bestFit="1" customWidth="1"/>
    <col min="168" max="168" width="22.7109375" style="2" bestFit="1" customWidth="1"/>
    <col min="169" max="169" width="23.7109375" style="2" bestFit="1" customWidth="1"/>
    <col min="170" max="170" width="22.7109375" style="2" bestFit="1" customWidth="1"/>
    <col min="171" max="171" width="23.7109375" style="2" bestFit="1" customWidth="1"/>
    <col min="172" max="172" width="22.7109375" style="2" bestFit="1" customWidth="1"/>
    <col min="173" max="173" width="23.7109375" style="2" bestFit="1" customWidth="1"/>
    <col min="174" max="174" width="22.7109375" style="2" bestFit="1" customWidth="1"/>
    <col min="175" max="175" width="23.7109375" style="2" bestFit="1" customWidth="1"/>
    <col min="176" max="176" width="22.7109375" style="2" bestFit="1" customWidth="1"/>
    <col min="177" max="177" width="23.7109375" style="2" bestFit="1" customWidth="1"/>
    <col min="178" max="178" width="22.7109375" style="2" bestFit="1" customWidth="1"/>
    <col min="179" max="179" width="23.7109375" style="2" bestFit="1" customWidth="1"/>
    <col min="180" max="180" width="22.7109375" style="2" bestFit="1" customWidth="1"/>
    <col min="181" max="181" width="23.7109375" style="2" bestFit="1" customWidth="1"/>
    <col min="182" max="182" width="22.7109375" style="2" bestFit="1" customWidth="1"/>
    <col min="183" max="183" width="23.7109375" style="2" bestFit="1" customWidth="1"/>
    <col min="184" max="184" width="27.28515625" style="2" bestFit="1" customWidth="1"/>
    <col min="185" max="185" width="28.28515625" style="2" bestFit="1" customWidth="1"/>
    <col min="186" max="186" width="22.7109375" style="2" bestFit="1" customWidth="1"/>
    <col min="187" max="187" width="23.7109375" style="2" bestFit="1" customWidth="1"/>
    <col min="188" max="188" width="22.7109375" style="2" bestFit="1" customWidth="1"/>
    <col min="189" max="189" width="23.7109375" style="2" bestFit="1" customWidth="1"/>
    <col min="190" max="190" width="22.7109375" style="2" bestFit="1" customWidth="1"/>
    <col min="191" max="191" width="23.7109375" style="2" bestFit="1" customWidth="1"/>
    <col min="192" max="192" width="22.7109375" style="2" bestFit="1" customWidth="1"/>
    <col min="193" max="193" width="23.7109375" style="2" bestFit="1" customWidth="1"/>
    <col min="194" max="194" width="22.7109375" style="2" bestFit="1" customWidth="1"/>
    <col min="195" max="195" width="23.7109375" style="2" bestFit="1" customWidth="1"/>
    <col min="196" max="196" width="22.7109375" style="2" bestFit="1" customWidth="1"/>
    <col min="197" max="197" width="23.7109375" style="2" bestFit="1" customWidth="1"/>
    <col min="198" max="198" width="22.7109375" style="2" bestFit="1" customWidth="1"/>
    <col min="199" max="199" width="23.7109375" style="2" bestFit="1" customWidth="1"/>
    <col min="200" max="200" width="22.7109375" style="2" bestFit="1" customWidth="1"/>
    <col min="201" max="201" width="23.7109375" style="2" bestFit="1" customWidth="1"/>
    <col min="202" max="202" width="22.7109375" style="2" bestFit="1" customWidth="1"/>
    <col min="203" max="203" width="23.7109375" style="2" bestFit="1" customWidth="1"/>
    <col min="204" max="204" width="22.7109375" style="2" bestFit="1" customWidth="1"/>
    <col min="205" max="205" width="23.7109375" style="2" bestFit="1" customWidth="1"/>
    <col min="206" max="206" width="22.7109375" style="2" bestFit="1" customWidth="1"/>
    <col min="207" max="207" width="23.7109375" style="2" bestFit="1" customWidth="1"/>
    <col min="208" max="208" width="22.7109375" style="2" bestFit="1" customWidth="1"/>
    <col min="209" max="209" width="23.7109375" style="2" bestFit="1" customWidth="1"/>
    <col min="210" max="210" width="22.7109375" style="2" bestFit="1" customWidth="1"/>
    <col min="211" max="211" width="23.7109375" style="2" bestFit="1" customWidth="1"/>
    <col min="212" max="212" width="22.7109375" style="2" bestFit="1" customWidth="1"/>
    <col min="213" max="213" width="23.7109375" style="2" bestFit="1" customWidth="1"/>
    <col min="214" max="214" width="22.7109375" style="2" bestFit="1" customWidth="1"/>
    <col min="215" max="215" width="23.7109375" style="2" bestFit="1" customWidth="1"/>
    <col min="216" max="216" width="22.7109375" style="2" bestFit="1" customWidth="1"/>
    <col min="217" max="217" width="23.7109375" style="2" bestFit="1" customWidth="1"/>
    <col min="218" max="218" width="22.7109375" style="2" bestFit="1" customWidth="1"/>
    <col min="219" max="219" width="23.7109375" style="2" bestFit="1" customWidth="1"/>
    <col min="220" max="220" width="22.7109375" style="2" bestFit="1" customWidth="1"/>
    <col min="221" max="221" width="23.7109375" style="2" bestFit="1" customWidth="1"/>
    <col min="222" max="222" width="22.7109375" style="2" bestFit="1" customWidth="1"/>
    <col min="223" max="223" width="23.7109375" style="2" bestFit="1" customWidth="1"/>
    <col min="224" max="224" width="22.7109375" style="2" bestFit="1" customWidth="1"/>
    <col min="225" max="225" width="23.7109375" style="2" bestFit="1" customWidth="1"/>
    <col min="226" max="226" width="22.7109375" style="2" bestFit="1" customWidth="1"/>
    <col min="227" max="227" width="23.7109375" style="2" bestFit="1" customWidth="1"/>
    <col min="228" max="228" width="22.7109375" style="2" bestFit="1" customWidth="1"/>
    <col min="229" max="229" width="23.7109375" style="2" bestFit="1" customWidth="1"/>
    <col min="230" max="230" width="22.7109375" style="2" bestFit="1" customWidth="1"/>
    <col min="231" max="231" width="23.7109375" style="2" bestFit="1" customWidth="1"/>
    <col min="232" max="232" width="22.7109375" style="2" bestFit="1" customWidth="1"/>
    <col min="233" max="233" width="23.7109375" style="2" bestFit="1" customWidth="1"/>
    <col min="234" max="234" width="22.7109375" style="2" bestFit="1" customWidth="1"/>
    <col min="235" max="235" width="23.7109375" style="2" bestFit="1" customWidth="1"/>
    <col min="236" max="236" width="22.7109375" style="2" bestFit="1" customWidth="1"/>
    <col min="237" max="237" width="23.7109375" style="2" bestFit="1" customWidth="1"/>
    <col min="238" max="238" width="22.7109375" style="2" bestFit="1" customWidth="1"/>
    <col min="239" max="239" width="23.7109375" style="2" bestFit="1" customWidth="1"/>
    <col min="240" max="240" width="22.7109375" style="2" bestFit="1" customWidth="1"/>
    <col min="241" max="241" width="23.7109375" style="2" bestFit="1" customWidth="1"/>
    <col min="242" max="242" width="22.7109375" style="2" bestFit="1" customWidth="1"/>
    <col min="243" max="243" width="23.7109375" style="2" bestFit="1" customWidth="1"/>
    <col min="244" max="244" width="22.7109375" style="2" bestFit="1" customWidth="1"/>
    <col min="245" max="245" width="23.7109375" style="2" bestFit="1" customWidth="1"/>
    <col min="246" max="246" width="22.7109375" style="2" bestFit="1" customWidth="1"/>
    <col min="247" max="247" width="23.7109375" style="2" bestFit="1" customWidth="1"/>
    <col min="248" max="248" width="22.7109375" style="2" bestFit="1" customWidth="1"/>
    <col min="249" max="249" width="23.7109375" style="2" bestFit="1" customWidth="1"/>
    <col min="250" max="250" width="22.7109375" style="2" bestFit="1" customWidth="1"/>
    <col min="251" max="251" width="23.7109375" style="2" bestFit="1" customWidth="1"/>
    <col min="252" max="252" width="22.7109375" style="2" bestFit="1" customWidth="1"/>
    <col min="253" max="253" width="23.7109375" style="2" bestFit="1" customWidth="1"/>
    <col min="254" max="254" width="22.7109375" style="2" bestFit="1" customWidth="1"/>
    <col min="255" max="255" width="23.7109375" style="2" bestFit="1" customWidth="1"/>
    <col min="256" max="256" width="22.7109375" style="2" bestFit="1" customWidth="1"/>
    <col min="257" max="257" width="23.7109375" style="2" bestFit="1" customWidth="1"/>
    <col min="258" max="258" width="22.7109375" style="2" bestFit="1" customWidth="1"/>
    <col min="259" max="259" width="23.7109375" style="2" bestFit="1" customWidth="1"/>
    <col min="260" max="260" width="22.7109375" style="2" bestFit="1" customWidth="1"/>
    <col min="261" max="261" width="23.7109375" style="2" bestFit="1" customWidth="1"/>
    <col min="262" max="262" width="22.7109375" style="2" bestFit="1" customWidth="1"/>
    <col min="263" max="263" width="23.7109375" style="2" bestFit="1" customWidth="1"/>
    <col min="264" max="264" width="22.7109375" style="2" bestFit="1" customWidth="1"/>
    <col min="265" max="265" width="23.7109375" style="2" bestFit="1" customWidth="1"/>
    <col min="266" max="266" width="22.7109375" style="2" bestFit="1" customWidth="1"/>
    <col min="267" max="267" width="23.7109375" style="2" bestFit="1" customWidth="1"/>
    <col min="268" max="268" width="22.7109375" style="2" bestFit="1" customWidth="1"/>
    <col min="269" max="269" width="23.7109375" style="2" bestFit="1" customWidth="1"/>
    <col min="270" max="270" width="22.7109375" style="2" bestFit="1" customWidth="1"/>
    <col min="271" max="271" width="23.7109375" style="2" bestFit="1" customWidth="1"/>
    <col min="272" max="272" width="22.7109375" style="2" bestFit="1" customWidth="1"/>
    <col min="273" max="273" width="23.7109375" style="2" bestFit="1" customWidth="1"/>
    <col min="274" max="274" width="22.7109375" style="2" bestFit="1" customWidth="1"/>
    <col min="275" max="275" width="23.7109375" style="2" bestFit="1" customWidth="1"/>
    <col min="276" max="276" width="22.7109375" style="2" bestFit="1" customWidth="1"/>
    <col min="277" max="277" width="23.7109375" style="2" bestFit="1" customWidth="1"/>
    <col min="278" max="278" width="22.7109375" style="2" bestFit="1" customWidth="1"/>
    <col min="279" max="279" width="23.7109375" style="2" bestFit="1" customWidth="1"/>
    <col min="280" max="280" width="22.7109375" style="2" bestFit="1" customWidth="1"/>
    <col min="281" max="281" width="23.7109375" style="2" bestFit="1" customWidth="1"/>
    <col min="282" max="282" width="22.7109375" style="2" bestFit="1" customWidth="1"/>
    <col min="283" max="283" width="23.7109375" style="2" bestFit="1" customWidth="1"/>
    <col min="284" max="284" width="22.7109375" style="2" bestFit="1" customWidth="1"/>
    <col min="285" max="285" width="23.7109375" style="2" bestFit="1" customWidth="1"/>
    <col min="286" max="286" width="22.7109375" style="2" bestFit="1" customWidth="1"/>
    <col min="287" max="287" width="23.7109375" style="2" bestFit="1" customWidth="1"/>
    <col min="288" max="288" width="22.7109375" style="2" bestFit="1" customWidth="1"/>
    <col min="289" max="289" width="23.7109375" style="2" bestFit="1" customWidth="1"/>
    <col min="290" max="290" width="22.7109375" style="2" bestFit="1" customWidth="1"/>
    <col min="291" max="291" width="23.7109375" style="2" bestFit="1" customWidth="1"/>
    <col min="292" max="292" width="22.7109375" style="2" bestFit="1" customWidth="1"/>
    <col min="293" max="293" width="23.7109375" style="2" bestFit="1" customWidth="1"/>
    <col min="294" max="294" width="27.28515625" style="2" bestFit="1" customWidth="1"/>
    <col min="295" max="295" width="28.28515625" style="2" bestFit="1" customWidth="1"/>
    <col min="296" max="296" width="27.7109375" style="2" bestFit="1" customWidth="1"/>
    <col min="297" max="297" width="28.7109375" style="2" bestFit="1" customWidth="1"/>
    <col min="298" max="16384" width="9.140625" style="2"/>
  </cols>
  <sheetData>
    <row r="1" spans="1:11" ht="21" customHeight="1">
      <c r="A1" s="3" t="s">
        <v>20</v>
      </c>
      <c r="B1" s="2">
        <v>2025</v>
      </c>
      <c r="G1" t="s" s="49">
        <v>1231</v>
      </c>
    </row>
    <row r="2">
      <c r="G2" t="s" s="50">
        <v>1232</v>
      </c>
    </row>
    <row r="3" spans="1:11" ht="45" customHeight="1">
      <c r="A3" s="3" t="s">
        <v>1201</v>
      </c>
      <c r="B3" s="2" t="s">
        <v>1202</v>
      </c>
      <c r="C3" s="2" t="s">
        <v>1203</v>
      </c>
      <c r="D3" s="51" t="s">
        <v>615</v>
      </c>
      <c r="E3" s="51" t="s">
        <v>618</v>
      </c>
      <c r="G3" s="51" t="s">
        <v>617</v>
      </c>
      <c r="H3" s="51" t="s">
        <v>620</v>
      </c>
      <c r="I3" s="51" t="s">
        <v>619</v>
      </c>
      <c r="J3" s="51" t="s">
        <v>615</v>
      </c>
      <c r="K3" s="51" t="s">
        <v>621</v>
      </c>
    </row>
    <row r="4" spans="1:11">
      <c r="A4" s="2" t="s">
        <v>144</v>
      </c>
      <c r="B4" s="54">
        <v>12.6</v>
      </c>
      <c r="C4" s="54">
        <v>1.1401754250991429</v>
      </c>
      <c r="D4" s="63">
        <f>IF(B4="", "", C4/B4)</f>
        <v>9.049011310310659E-2</v>
      </c>
      <c r="E4" s="64">
        <f>IF(B4="", "", 1.65*C4)</f>
        <v>1.8812894514135858</v>
      </c>
      <c r="F4" s="6"/>
      <c r="G4" s="67" t="str" cm="1">
        <f t="array" ref="G4:K22">_xlfn.SORTBY(_xlfn._xlws.FILTER(A4:E22, B4:B22&lt;&gt;""), _xlfn._xlws.FILTER(D4:D22, B4:B22&lt;&gt;""), -1)</f>
        <v>Rheinland Lithomaterials</v>
      </c>
      <c r="H4" s="68">
        <v>45.5</v>
      </c>
      <c r="I4" s="69">
        <v>34.648232278140831</v>
      </c>
      <c r="J4" s="70">
        <v>0.76149961050858972</v>
      </c>
      <c r="K4" s="69">
        <v>57.16958325893237</v>
      </c>
    </row>
    <row r="5" spans="1:11">
      <c r="A5" s="2" t="s">
        <v>80</v>
      </c>
      <c r="B5" s="54">
        <v>34</v>
      </c>
      <c r="C5" s="54">
        <v>2</v>
      </c>
      <c r="D5" s="63">
        <f t="shared" ref="D5:D22" si="0">IF(B5="", "", C5/B5)</f>
        <v>5.8823529411764705E-2</v>
      </c>
      <c r="E5" s="64">
        <f t="shared" ref="E5:E22" si="1">IF(B5="", "", 1.65*C5)</f>
        <v>3.3</v>
      </c>
      <c r="F5" s="6"/>
      <c r="G5" s="67" t="str">
        <v>Penang Bond Materials</v>
      </c>
      <c r="H5" s="68">
        <v>39.892857142857146</v>
      </c>
      <c r="I5" s="69">
        <v>20.72275415292426</v>
      </c>
      <c r="J5" s="70">
        <v>0.51946026524787758</v>
      </c>
      <c r="K5" s="69">
        <v>34.192544352325029</v>
      </c>
    </row>
    <row r="6" spans="1:11">
      <c r="A6" s="2" t="s">
        <v>52</v>
      </c>
      <c r="B6" s="54">
        <v>53.363636363636367</v>
      </c>
      <c r="C6" s="54">
        <v>16.001704454668122</v>
      </c>
      <c r="D6" s="63">
        <f t="shared" si="0"/>
        <v>0.29986158262580803</v>
      </c>
      <c r="E6" s="64">
        <f t="shared" si="1"/>
        <v>26.402812350202399</v>
      </c>
      <c r="F6" s="6"/>
      <c r="G6" s="67" t="str">
        <v>Probecard Dynamics</v>
      </c>
      <c r="H6" s="68">
        <v>56.375</v>
      </c>
      <c r="I6" s="69">
        <v>22.796851286338395</v>
      </c>
      <c r="J6" s="70">
        <v>0.40437873678649039</v>
      </c>
      <c r="K6" s="69">
        <v>37.614804622458351</v>
      </c>
    </row>
    <row r="7" spans="1:11">
      <c r="A7" s="2" t="s">
        <v>96</v>
      </c>
      <c r="B7" s="54">
        <v>69.63636363636364</v>
      </c>
      <c r="C7" s="54">
        <v>2.5009089256799393</v>
      </c>
      <c r="D7" s="63">
        <f t="shared" si="0"/>
        <v>3.5913835747362052E-2</v>
      </c>
      <c r="E7" s="64">
        <f t="shared" si="1"/>
        <v>4.1264997273718995</v>
      </c>
      <c r="F7" s="6"/>
      <c r="G7" s="67" t="str">
        <v>Kyushu Underfill</v>
      </c>
      <c r="H7" s="68">
        <v>44.44</v>
      </c>
      <c r="I7" s="69">
        <v>14.121732660454009</v>
      </c>
      <c r="J7" s="70">
        <v>0.31777076193640885</v>
      </c>
      <c r="K7" s="69">
        <v>23.300858889749115</v>
      </c>
    </row>
    <row r="8" spans="1:11">
      <c r="A8" s="2" t="s">
        <v>150</v>
      </c>
      <c r="B8" s="54">
        <v>43.571428571428569</v>
      </c>
      <c r="C8" s="54">
        <v>5.3184315625675183</v>
      </c>
      <c r="D8" s="63">
        <f t="shared" si="0"/>
        <v>0.1220623637310578</v>
      </c>
      <c r="E8" s="64">
        <f t="shared" si="1"/>
        <v>8.7754120782364051</v>
      </c>
      <c r="F8" s="6"/>
      <c r="G8" s="67" t="str">
        <v>Veldhoven Litho Service</v>
      </c>
      <c r="H8" s="68">
        <v>122.5</v>
      </c>
      <c r="I8" s="69">
        <v>37.011259548052848</v>
      </c>
      <c r="J8" s="70">
        <v>0.30213273100451304</v>
      </c>
      <c r="K8" s="69">
        <v>61.068578254287196</v>
      </c>
    </row>
    <row r="9" spans="1:11">
      <c r="A9" s="2" t="s">
        <v>58</v>
      </c>
      <c r="B9" s="54">
        <v>40.909090909090907</v>
      </c>
      <c r="C9" s="54">
        <v>2.0225995873897507</v>
      </c>
      <c r="D9" s="63">
        <f t="shared" si="0"/>
        <v>4.9441323247305019E-2</v>
      </c>
      <c r="E9" s="64">
        <f t="shared" si="1"/>
        <v>3.3372893191930886</v>
      </c>
      <c r="F9" s="6"/>
      <c r="G9" s="67" t="str">
        <v>Danube Rare Gases</v>
      </c>
      <c r="H9" s="68">
        <v>53.363636363636367</v>
      </c>
      <c r="I9" s="69">
        <v>16.001704454668122</v>
      </c>
      <c r="J9" s="70">
        <v>0.29986158262580803</v>
      </c>
      <c r="K9" s="69">
        <v>26.402812350202399</v>
      </c>
    </row>
    <row r="10" spans="1:11">
      <c r="A10" s="2" t="s">
        <v>39</v>
      </c>
      <c r="B10" s="54">
        <v>68.666666666666671</v>
      </c>
      <c r="C10" s="54">
        <v>1.5275252316518475</v>
      </c>
      <c r="D10" s="63">
        <f t="shared" si="0"/>
        <v>2.2245513082308457E-2</v>
      </c>
      <c r="E10" s="64">
        <f t="shared" si="1"/>
        <v>2.5204166322255483</v>
      </c>
      <c r="F10" s="6"/>
      <c r="G10" s="67" t="str">
        <v>Pacific Electrochem</v>
      </c>
      <c r="H10" s="68">
        <v>25.695652173913043</v>
      </c>
      <c r="I10" s="69">
        <v>7.4494342836382605</v>
      </c>
      <c r="J10" s="70">
        <v>0.28991030207052454</v>
      </c>
      <c r="K10" s="69">
        <v>12.291566568003129</v>
      </c>
    </row>
    <row r="11" spans="1:11">
      <c r="A11" s="2" t="s">
        <v>115</v>
      </c>
      <c r="B11" s="54">
        <v>71.333333333333329</v>
      </c>
      <c r="C11" s="54">
        <v>6.6583281184793703</v>
      </c>
      <c r="D11" s="63">
        <f t="shared" si="0"/>
        <v>9.3341048389897721E-2</v>
      </c>
      <c r="E11" s="64">
        <f t="shared" si="1"/>
        <v>10.986241395490961</v>
      </c>
      <c r="F11" s="6"/>
      <c r="G11" s="67" t="str">
        <v>Lone Star Gas Supply</v>
      </c>
      <c r="H11" s="68">
        <v>33.736842105263158</v>
      </c>
      <c r="I11" s="69">
        <v>8.0404678226467396</v>
      </c>
      <c r="J11" s="70">
        <v>0.2383289994232263</v>
      </c>
      <c r="K11" s="69">
        <v>13.26677190736712</v>
      </c>
    </row>
    <row r="12" spans="1:11">
      <c r="A12" s="2" t="s">
        <v>31</v>
      </c>
      <c r="B12" s="54">
        <v>42</v>
      </c>
      <c r="C12" s="54">
        <v>2.6457513110645907</v>
      </c>
      <c r="D12" s="63">
        <f t="shared" si="0"/>
        <v>6.2994078834871209E-2</v>
      </c>
      <c r="E12" s="64">
        <f t="shared" si="1"/>
        <v>4.3654896632565743</v>
      </c>
      <c r="F12" s="6"/>
      <c r="G12" s="67" t="str">
        <v>Formosa Wafer Corp</v>
      </c>
      <c r="H12" s="68">
        <v>43.571428571428569</v>
      </c>
      <c r="I12" s="69">
        <v>5.3184315625675183</v>
      </c>
      <c r="J12" s="70">
        <v>0.1220623637310578</v>
      </c>
      <c r="K12" s="69">
        <v>8.7754120782364051</v>
      </c>
    </row>
    <row r="13" spans="1:11">
      <c r="A13" s="2" t="s">
        <v>138</v>
      </c>
      <c r="B13" s="54">
        <v>44.44</v>
      </c>
      <c r="C13" s="54">
        <v>14.121732660454009</v>
      </c>
      <c r="D13" s="63">
        <f t="shared" si="0"/>
        <v>0.31777076193640885</v>
      </c>
      <c r="E13" s="64">
        <f t="shared" si="1"/>
        <v>23.300858889749115</v>
      </c>
      <c r="F13" s="6"/>
      <c r="G13" s="67" t="str">
        <v>Hsinchu Substrate Co</v>
      </c>
      <c r="H13" s="68">
        <v>71.333333333333329</v>
      </c>
      <c r="I13" s="69">
        <v>6.6583281184793703</v>
      </c>
      <c r="J13" s="70">
        <v>9.3341048389897721E-2</v>
      </c>
      <c r="K13" s="69">
        <v>10.986241395490961</v>
      </c>
    </row>
    <row r="14" spans="1:11">
      <c r="A14" s="2" t="s">
        <v>66</v>
      </c>
      <c r="B14" s="54">
        <v>33.736842105263158</v>
      </c>
      <c r="C14" s="54">
        <v>8.0404678226467396</v>
      </c>
      <c r="D14" s="63">
        <f t="shared" si="0"/>
        <v>0.2383289994232263</v>
      </c>
      <c r="E14" s="64">
        <f t="shared" si="1"/>
        <v>13.26677190736712</v>
      </c>
      <c r="F14" s="6"/>
      <c r="G14" s="67" t="str">
        <v>Boise Pack Solutions</v>
      </c>
      <c r="H14" s="68">
        <v>12.6</v>
      </c>
      <c r="I14" s="69">
        <v>1.1401754250991429</v>
      </c>
      <c r="J14" s="70">
        <v>9.049011310310659E-2</v>
      </c>
      <c r="K14" s="69">
        <v>1.8812894514135858</v>
      </c>
    </row>
    <row r="15" spans="1:11">
      <c r="A15" s="2" t="s">
        <v>45</v>
      </c>
      <c r="B15" s="54">
        <v>25.695652173913043</v>
      </c>
      <c r="C15" s="54">
        <v>7.4494342836382605</v>
      </c>
      <c r="D15" s="63">
        <f t="shared" si="0"/>
        <v>0.28991030207052454</v>
      </c>
      <c r="E15" s="64">
        <f t="shared" si="1"/>
        <v>12.291566568003129</v>
      </c>
      <c r="F15" s="6"/>
      <c r="G15" s="67" t="str">
        <v>Taoyuan Fine Chemicals</v>
      </c>
      <c r="H15" s="68">
        <v>19.529411764705884</v>
      </c>
      <c r="I15" s="69">
        <v>1.4627733530362548</v>
      </c>
      <c r="J15" s="70">
        <v>7.4901045185591347E-2</v>
      </c>
      <c r="K15" s="69">
        <v>2.4135760325098201</v>
      </c>
    </row>
    <row r="16" spans="1:11">
      <c r="A16" s="2" t="s">
        <v>122</v>
      </c>
      <c r="B16" s="54">
        <v>39.892857142857146</v>
      </c>
      <c r="C16" s="54">
        <v>20.72275415292426</v>
      </c>
      <c r="D16" s="63">
        <f t="shared" si="0"/>
        <v>0.51946026524787758</v>
      </c>
      <c r="E16" s="64">
        <f t="shared" si="1"/>
        <v>34.192544352325029</v>
      </c>
      <c r="F16" s="6"/>
      <c r="G16" s="67" t="str">
        <v>Kirin Silicon Works</v>
      </c>
      <c r="H16" s="68">
        <v>42</v>
      </c>
      <c r="I16" s="69">
        <v>2.6457513110645907</v>
      </c>
      <c r="J16" s="70">
        <v>6.2994078834871209E-2</v>
      </c>
      <c r="K16" s="69">
        <v>4.3654896632565743</v>
      </c>
    </row>
    <row r="17" spans="1:11">
      <c r="A17" s="2" t="s">
        <v>132</v>
      </c>
      <c r="B17" s="54">
        <v>56.375</v>
      </c>
      <c r="C17" s="54">
        <v>22.796851286338395</v>
      </c>
      <c r="D17" s="63">
        <f t="shared" si="0"/>
        <v>0.40437873678649039</v>
      </c>
      <c r="E17" s="64">
        <f t="shared" si="1"/>
        <v>37.614804622458351</v>
      </c>
      <c r="F17" s="6"/>
      <c r="G17" s="67" t="str">
        <v>Cascade Planarization</v>
      </c>
      <c r="H17" s="68">
        <v>34</v>
      </c>
      <c r="I17" s="69">
        <v>2</v>
      </c>
      <c r="J17" s="70">
        <v>5.8823529411764705E-2</v>
      </c>
      <c r="K17" s="69">
        <v>3.3</v>
      </c>
    </row>
    <row r="18" spans="1:11">
      <c r="A18" s="2" t="s">
        <v>103</v>
      </c>
      <c r="B18" s="54">
        <v>48.5</v>
      </c>
      <c r="C18" s="54">
        <v>2.6770630673681683</v>
      </c>
      <c r="D18" s="63">
        <f t="shared" si="0"/>
        <v>5.5197176646766356E-2</v>
      </c>
      <c r="E18" s="64">
        <f t="shared" si="1"/>
        <v>4.4171540611574773</v>
      </c>
      <c r="F18" s="6"/>
      <c r="G18" s="67" t="str">
        <v>Quartzline Components</v>
      </c>
      <c r="H18" s="68">
        <v>48.5</v>
      </c>
      <c r="I18" s="69">
        <v>2.6770630673681683</v>
      </c>
      <c r="J18" s="70">
        <v>5.5197176646766356E-2</v>
      </c>
      <c r="K18" s="69">
        <v>4.4171540611574773</v>
      </c>
    </row>
    <row r="19" spans="1:11">
      <c r="A19" s="2" t="s">
        <v>516</v>
      </c>
      <c r="B19" s="54">
        <v>45.5</v>
      </c>
      <c r="C19" s="54">
        <v>34.648232278140831</v>
      </c>
      <c r="D19" s="63">
        <f t="shared" si="0"/>
        <v>0.76149961050858972</v>
      </c>
      <c r="E19" s="64">
        <f t="shared" si="1"/>
        <v>57.16958325893237</v>
      </c>
      <c r="F19" s="6"/>
      <c r="G19" s="67" t="str">
        <v>Hanbit Industrial Gas</v>
      </c>
      <c r="H19" s="68">
        <v>40.909090909090907</v>
      </c>
      <c r="I19" s="69">
        <v>2.0225995873897507</v>
      </c>
      <c r="J19" s="70">
        <v>4.9441323247305019E-2</v>
      </c>
      <c r="K19" s="69">
        <v>3.3372893191930886</v>
      </c>
    </row>
    <row r="20" spans="1:11">
      <c r="A20" s="2" t="s">
        <v>90</v>
      </c>
      <c r="B20" s="54">
        <v>61.888888888888886</v>
      </c>
      <c r="C20" s="54">
        <v>1.2692955176440643</v>
      </c>
      <c r="D20" s="63">
        <f t="shared" si="0"/>
        <v>2.050926330125059E-2</v>
      </c>
      <c r="E20" s="64">
        <f t="shared" si="1"/>
        <v>2.094337604112706</v>
      </c>
      <c r="F20" s="6"/>
      <c r="G20" s="67" t="str">
        <v>Elbe Precursor GmbH</v>
      </c>
      <c r="H20" s="68">
        <v>69.63636363636364</v>
      </c>
      <c r="I20" s="69">
        <v>2.5009089256799393</v>
      </c>
      <c r="J20" s="70">
        <v>3.5913835747362052E-2</v>
      </c>
      <c r="K20" s="69">
        <v>4.1264997273718995</v>
      </c>
    </row>
    <row r="21" spans="1:11">
      <c r="A21" s="2" t="s">
        <v>71</v>
      </c>
      <c r="B21" s="54">
        <v>19.529411764705884</v>
      </c>
      <c r="C21" s="54">
        <v>1.4627733530362548</v>
      </c>
      <c r="D21" s="63">
        <f t="shared" si="0"/>
        <v>7.4901045185591347E-2</v>
      </c>
      <c r="E21" s="64">
        <f t="shared" si="1"/>
        <v>2.4135760325098201</v>
      </c>
      <c r="F21" s="6"/>
      <c r="G21" s="67" t="str">
        <v>Hokuto Photochem</v>
      </c>
      <c r="H21" s="68">
        <v>68.666666666666671</v>
      </c>
      <c r="I21" s="69">
        <v>1.5275252316518475</v>
      </c>
      <c r="J21" s="70">
        <v>2.2245513082308457E-2</v>
      </c>
      <c r="K21" s="69">
        <v>2.5204166322255483</v>
      </c>
    </row>
    <row r="22" spans="1:11">
      <c r="A22" s="2" t="s">
        <v>109</v>
      </c>
      <c r="B22" s="54">
        <v>122.5</v>
      </c>
      <c r="C22" s="54">
        <v>37.011259548052848</v>
      </c>
      <c r="D22" s="63">
        <f t="shared" si="0"/>
        <v>0.30213273100451304</v>
      </c>
      <c r="E22" s="64">
        <f t="shared" si="1"/>
        <v>61.068578254287196</v>
      </c>
      <c r="F22" s="6"/>
      <c r="G22" s="67" t="str">
        <v>Sakura Targets</v>
      </c>
      <c r="H22" s="68">
        <v>61.888888888888886</v>
      </c>
      <c r="I22" s="69">
        <v>1.2692955176440643</v>
      </c>
      <c r="J22" s="70">
        <v>2.050926330125059E-2</v>
      </c>
      <c r="K22" s="69">
        <v>2.094337604112706</v>
      </c>
    </row>
    <row r="23" spans="1:11">
      <c r="A23" s="2" t="s">
        <v>603</v>
      </c>
      <c r="B23" s="54">
        <v>44.870370370370374</v>
      </c>
      <c r="C23" s="54">
        <v>25.841589911700741</v>
      </c>
      <c r="D23" s="65">
        <f>IF(B23="", "", C23/B23)</f>
        <v>0.57591657252655382</v>
      </c>
      <c r="E23" s="66">
        <f>IF(B23="", "", 1.65*C23)</f>
        <v>42.638623354306219</v>
      </c>
    </row>
  </sheetData>
  <autoFilter ref="A3:D23" xr:uid="{6D438721-362F-4B65-B1EB-AC9A526CD77D}"/>
  <pageMargins left="0.7" right="0.7" top="0.75" bottom="0.75" header="0.3" footer="0.3"/>
  <pageSetup orientation="portrait" horizontalDpi="1200" verticalDpi="1200"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0C112-7E0B-4B71-8577-9FAF5596E9EA}">
  <dimension ref="A1:EC55"/>
  <sheetViews>
    <sheetView workbookViewId="0">
      <selection activeCell="F14" sqref="F14"/>
    </sheetView>
  </sheetViews>
  <sheetFormatPr defaultRowHeight="15"/>
  <cols>
    <col min="1" max="1" width="23.5703125" style="2" bestFit="1" customWidth="1"/>
    <col min="2" max="2" width="18.5703125" style="2" bestFit="1" customWidth="1"/>
    <col min="3" max="3" width="14.42578125" style="2" bestFit="1" customWidth="1"/>
    <col min="4" max="4" width="5.5703125" style="2" bestFit="1" customWidth="1"/>
    <col min="5" max="5" width="13.140625" style="2" bestFit="1" customWidth="1"/>
    <col min="6" max="6" width="14.42578125" style="2" bestFit="1" customWidth="1"/>
    <col min="7" max="7" width="5.5703125" style="2" bestFit="1" customWidth="1"/>
    <col min="8" max="8" width="26.85546875" style="2" bestFit="1" customWidth="1"/>
    <col min="9" max="9" width="22" style="2" bestFit="1" customWidth="1"/>
    <col min="10" max="10" width="22.5703125" style="2" bestFit="1" customWidth="1"/>
    <col min="11" max="11" width="21.7109375" style="2" bestFit="1" customWidth="1"/>
    <col min="12" max="12" width="30.28515625" style="2" bestFit="1" customWidth="1"/>
    <col min="13" max="13" width="21.140625" style="2" bestFit="1" customWidth="1"/>
    <col min="14" max="14" width="18.85546875" style="2" bestFit="1" customWidth="1"/>
    <col min="15" max="15" width="21.85546875" style="2" bestFit="1" customWidth="1"/>
    <col min="16" max="16" width="24.140625" style="2" bestFit="1" customWidth="1"/>
    <col min="17" max="17" width="16.42578125" style="2" bestFit="1" customWidth="1"/>
    <col min="18" max="18" width="12.140625" style="2" bestFit="1" customWidth="1"/>
    <col min="19" max="19" width="16.140625" style="2" bestFit="1" customWidth="1"/>
    <col min="20" max="20" width="27.42578125" style="2" bestFit="1" customWidth="1"/>
    <col min="21" max="21" width="21.42578125" style="2" bestFit="1" customWidth="1"/>
    <col min="22" max="22" width="16.5703125" style="2" bestFit="1" customWidth="1"/>
    <col min="23" max="23" width="25.28515625" style="2" bestFit="1" customWidth="1"/>
    <col min="24" max="24" width="25" style="2" bestFit="1" customWidth="1"/>
    <col min="25" max="25" width="17.7109375" style="2" bestFit="1" customWidth="1"/>
    <col min="26" max="26" width="22.85546875" style="2" bestFit="1" customWidth="1"/>
    <col min="27" max="27" width="19.85546875" style="2" bestFit="1" customWidth="1"/>
    <col min="28" max="28" width="18.140625" style="2" bestFit="1" customWidth="1"/>
    <col min="29" max="29" width="21.5703125" style="2" bestFit="1" customWidth="1"/>
    <col min="30" max="30" width="22" style="2" bestFit="1" customWidth="1"/>
    <col min="31" max="31" width="22.5703125" style="2" bestFit="1" customWidth="1"/>
    <col min="32" max="32" width="21.7109375" style="2" bestFit="1" customWidth="1"/>
    <col min="33" max="33" width="30.28515625" style="2" bestFit="1" customWidth="1"/>
    <col min="34" max="34" width="21.140625" style="2" bestFit="1" customWidth="1"/>
    <col min="35" max="35" width="18.85546875" style="2" bestFit="1" customWidth="1"/>
    <col min="36" max="36" width="21.85546875" style="2" bestFit="1" customWidth="1"/>
    <col min="37" max="37" width="24.140625" style="2" bestFit="1" customWidth="1"/>
    <col min="38" max="38" width="16.42578125" style="2" bestFit="1" customWidth="1"/>
    <col min="39" max="39" width="12.140625" style="2" bestFit="1" customWidth="1"/>
    <col min="40" max="40" width="16.140625" style="2" bestFit="1" customWidth="1"/>
    <col min="41" max="41" width="27.42578125" style="2" bestFit="1" customWidth="1"/>
    <col min="42" max="42" width="21.42578125" style="2" bestFit="1" customWidth="1"/>
    <col min="43" max="43" width="16.5703125" style="2" bestFit="1" customWidth="1"/>
    <col min="44" max="44" width="25.28515625" style="2" bestFit="1" customWidth="1"/>
    <col min="45" max="45" width="25" style="2" bestFit="1" customWidth="1"/>
    <col min="46" max="46" width="17.7109375" style="2" bestFit="1" customWidth="1"/>
    <col min="47" max="47" width="22.85546875" style="2" bestFit="1" customWidth="1"/>
    <col min="48" max="48" width="19.85546875" style="2" bestFit="1" customWidth="1"/>
    <col min="49" max="49" width="18.140625" style="2" bestFit="1" customWidth="1"/>
    <col min="50" max="50" width="21.5703125" style="2" bestFit="1" customWidth="1"/>
    <col min="51" max="51" width="22" style="2" bestFit="1" customWidth="1"/>
    <col min="52" max="52" width="22.5703125" style="2" bestFit="1" customWidth="1"/>
    <col min="53" max="53" width="21.7109375" style="2" bestFit="1" customWidth="1"/>
    <col min="54" max="54" width="30.28515625" style="2" bestFit="1" customWidth="1"/>
    <col min="55" max="55" width="21.140625" style="2" bestFit="1" customWidth="1"/>
    <col min="56" max="56" width="18.85546875" style="2" bestFit="1" customWidth="1"/>
    <col min="57" max="57" width="21.85546875" style="2" bestFit="1" customWidth="1"/>
    <col min="58" max="58" width="24.140625" style="2" bestFit="1" customWidth="1"/>
    <col min="59" max="59" width="16.42578125" style="2" bestFit="1" customWidth="1"/>
    <col min="60" max="60" width="12.140625" style="2" bestFit="1" customWidth="1"/>
    <col min="61" max="61" width="16.140625" style="2" bestFit="1" customWidth="1"/>
    <col min="62" max="62" width="27.42578125" style="2" bestFit="1" customWidth="1"/>
    <col min="63" max="63" width="21.42578125" style="2" bestFit="1" customWidth="1"/>
    <col min="64" max="64" width="16.5703125" style="2" bestFit="1" customWidth="1"/>
    <col min="65" max="65" width="18" style="2" bestFit="1" customWidth="1"/>
    <col min="66" max="66" width="17.7109375" style="2" bestFit="1" customWidth="1"/>
    <col min="67" max="67" width="10" style="2" bestFit="1" customWidth="1"/>
    <col min="68" max="68" width="25.28515625" style="2" bestFit="1" customWidth="1"/>
    <col min="69" max="69" width="25" style="2" bestFit="1" customWidth="1"/>
    <col min="70" max="70" width="17.7109375" style="2" bestFit="1" customWidth="1"/>
    <col min="71" max="71" width="22.85546875" style="2" bestFit="1" customWidth="1"/>
    <col min="72" max="72" width="19.85546875" style="2" bestFit="1" customWidth="1"/>
    <col min="73" max="73" width="18.140625" style="2" bestFit="1" customWidth="1"/>
    <col min="74" max="74" width="21.5703125" style="2" bestFit="1" customWidth="1"/>
    <col min="75" max="75" width="22" style="2" bestFit="1" customWidth="1"/>
    <col min="76" max="76" width="22.5703125" style="2" bestFit="1" customWidth="1"/>
    <col min="77" max="77" width="21.7109375" style="2" bestFit="1" customWidth="1"/>
    <col min="78" max="78" width="30.28515625" style="2" bestFit="1" customWidth="1"/>
    <col min="79" max="79" width="21.140625" style="2" bestFit="1" customWidth="1"/>
    <col min="80" max="80" width="18.85546875" style="2" bestFit="1" customWidth="1"/>
    <col min="81" max="81" width="21.85546875" style="2" bestFit="1" customWidth="1"/>
    <col min="82" max="82" width="24.140625" style="2" bestFit="1" customWidth="1"/>
    <col min="83" max="83" width="16.42578125" style="2" bestFit="1" customWidth="1"/>
    <col min="84" max="84" width="12.140625" style="2" bestFit="1" customWidth="1"/>
    <col min="85" max="85" width="16.140625" style="2" bestFit="1" customWidth="1"/>
    <col min="86" max="86" width="27.42578125" style="2" bestFit="1" customWidth="1"/>
    <col min="87" max="87" width="21.42578125" style="2" bestFit="1" customWidth="1"/>
    <col min="88" max="88" width="16.5703125" style="2" bestFit="1" customWidth="1"/>
    <col min="89" max="89" width="25.28515625" style="2" bestFit="1" customWidth="1"/>
    <col min="90" max="90" width="25" style="2" bestFit="1" customWidth="1"/>
    <col min="91" max="91" width="17.7109375" style="2" bestFit="1" customWidth="1"/>
    <col min="92" max="92" width="22.85546875" style="2" bestFit="1" customWidth="1"/>
    <col min="93" max="93" width="19.85546875" style="2" bestFit="1" customWidth="1"/>
    <col min="94" max="94" width="18.140625" style="2" bestFit="1" customWidth="1"/>
    <col min="95" max="95" width="21.5703125" style="2" bestFit="1" customWidth="1"/>
    <col min="96" max="96" width="22" style="2" bestFit="1" customWidth="1"/>
    <col min="97" max="97" width="22.5703125" style="2" bestFit="1" customWidth="1"/>
    <col min="98" max="98" width="21.7109375" style="2" bestFit="1" customWidth="1"/>
    <col min="99" max="99" width="30.28515625" style="2" bestFit="1" customWidth="1"/>
    <col min="100" max="100" width="21.140625" style="2" bestFit="1" customWidth="1"/>
    <col min="101" max="101" width="18.85546875" style="2" bestFit="1" customWidth="1"/>
    <col min="102" max="102" width="21.85546875" style="2" bestFit="1" customWidth="1"/>
    <col min="103" max="103" width="24.140625" style="2" bestFit="1" customWidth="1"/>
    <col min="104" max="104" width="16.42578125" style="2" bestFit="1" customWidth="1"/>
    <col min="105" max="105" width="12.140625" style="2" bestFit="1" customWidth="1"/>
    <col min="106" max="106" width="16.140625" style="2" bestFit="1" customWidth="1"/>
    <col min="107" max="107" width="27.42578125" style="2" bestFit="1" customWidth="1"/>
    <col min="108" max="108" width="21.42578125" style="2" bestFit="1" customWidth="1"/>
    <col min="109" max="109" width="16.5703125" style="2" bestFit="1" customWidth="1"/>
    <col min="110" max="110" width="25.28515625" style="2" bestFit="1" customWidth="1"/>
    <col min="111" max="111" width="25" style="2" bestFit="1" customWidth="1"/>
    <col min="112" max="112" width="17.7109375" style="2" bestFit="1" customWidth="1"/>
    <col min="113" max="113" width="22.85546875" style="2" bestFit="1" customWidth="1"/>
    <col min="114" max="114" width="19.85546875" style="2" bestFit="1" customWidth="1"/>
    <col min="115" max="115" width="18.140625" style="2" bestFit="1" customWidth="1"/>
    <col min="116" max="116" width="21.5703125" style="2" bestFit="1" customWidth="1"/>
    <col min="117" max="117" width="22" style="2" bestFit="1" customWidth="1"/>
    <col min="118" max="118" width="22.5703125" style="2" bestFit="1" customWidth="1"/>
    <col min="119" max="119" width="21.7109375" style="2" bestFit="1" customWidth="1"/>
    <col min="120" max="120" width="30.28515625" style="2" bestFit="1" customWidth="1"/>
    <col min="121" max="121" width="21.140625" style="2" bestFit="1" customWidth="1"/>
    <col min="122" max="122" width="18.85546875" style="2" bestFit="1" customWidth="1"/>
    <col min="123" max="123" width="21.85546875" style="2" bestFit="1" customWidth="1"/>
    <col min="124" max="124" width="24.140625" style="2" bestFit="1" customWidth="1"/>
    <col min="125" max="125" width="16.42578125" style="2" bestFit="1" customWidth="1"/>
    <col min="126" max="126" width="12.140625" style="2" bestFit="1" customWidth="1"/>
    <col min="127" max="127" width="16.140625" style="2" bestFit="1" customWidth="1"/>
    <col min="128" max="128" width="27.42578125" style="2" bestFit="1" customWidth="1"/>
    <col min="129" max="129" width="21.42578125" style="2" bestFit="1" customWidth="1"/>
    <col min="130" max="130" width="16.5703125" style="2" bestFit="1" customWidth="1"/>
    <col min="131" max="131" width="18" style="2" bestFit="1" customWidth="1"/>
    <col min="132" max="132" width="17.7109375" style="2" bestFit="1" customWidth="1"/>
    <col min="133" max="133" width="10" style="2" bestFit="1" customWidth="1"/>
    <col min="134" max="16384" width="9.140625" style="2"/>
  </cols>
  <sheetData>
    <row r="1" spans="1:133" ht="21" customHeight="1">
      <c r="A1" t="s" s="49">
        <v>1233</v>
      </c>
      <c r="B1"/>
    </row>
    <row r="2">
      <c r="A2" t="s" s="50">
        <v>1234</v>
      </c>
    </row>
    <row r="3" spans="1:133">
      <c r="B3" s="3" t="s">
        <v>1204</v>
      </c>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row>
    <row r="4" spans="1:133">
      <c r="B4" s="2" t="s">
        <v>612</v>
      </c>
      <c r="E4" s="2" t="s">
        <v>613</v>
      </c>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row>
    <row r="5" spans="1:133">
      <c r="A5" s="3" t="s">
        <v>1205</v>
      </c>
      <c r="B5" s="2" t="s">
        <v>1206</v>
      </c>
      <c r="C5" s="2" t="s">
        <v>1207</v>
      </c>
      <c r="D5" s="2" t="s">
        <v>1088</v>
      </c>
      <c r="E5" s="2" t="s">
        <v>1208</v>
      </c>
      <c r="F5" s="2" t="s">
        <v>1209</v>
      </c>
      <c r="G5" s="2" t="s">
        <v>1088</v>
      </c>
      <c r="H5" s="51" t="s">
        <v>1235</v>
      </c>
      <c r="I5" s="51" t="s">
        <v>1236</v>
      </c>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row>
    <row r="6" spans="1:133">
      <c r="A6" s="2" t="s">
        <v>52</v>
      </c>
      <c r="B6" s="55">
        <v>8.661999999999999</v>
      </c>
      <c r="C6" s="57">
        <v>1355.57</v>
      </c>
      <c r="D6" s="58">
        <v>6389.9319105616087</v>
      </c>
      <c r="E6" s="55">
        <v>3.1390000000000002</v>
      </c>
      <c r="F6" s="57">
        <v>1606.3269999999998</v>
      </c>
      <c r="G6" s="58">
        <v>1954.1475677119295</v>
      </c>
      <c r="H6" s="71">
        <f>G6-D6</f>
        <v>-4435.784342849679</v>
      </c>
      <c r="I6" s="72">
        <f>(G6-D6)/D6</f>
        <v>-0.69418335045448387</v>
      </c>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row>
    <row r="7" spans="1:133">
      <c r="A7" s="2" t="s">
        <v>115</v>
      </c>
      <c r="B7" s="55">
        <v>1044117.4990000001</v>
      </c>
      <c r="C7" s="57">
        <v>247557615.27199998</v>
      </c>
      <c r="D7" s="58">
        <v>4217.6747334263682</v>
      </c>
      <c r="E7" s="55">
        <v>207735.54100000003</v>
      </c>
      <c r="F7" s="57">
        <v>110097435.375</v>
      </c>
      <c r="G7" s="58">
        <v>1886.8336060003344</v>
      </c>
      <c r="H7" s="71">
        <f t="shared" ref="H7:H23" si="0">G7-D7</f>
        <v>-2330.8411274260338</v>
      </c>
      <c r="I7" s="72">
        <f t="shared" ref="I7:I19" si="1">(G7-D7)/D7</f>
        <v>-0.55263652954396925</v>
      </c>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row>
    <row r="8" spans="1:133">
      <c r="A8" s="2" t="s">
        <v>80</v>
      </c>
      <c r="B8" s="55">
        <v>406.85</v>
      </c>
      <c r="C8" s="57">
        <v>158402.94899999999</v>
      </c>
      <c r="D8" s="58">
        <v>2568.4496568305685</v>
      </c>
      <c r="E8" s="55">
        <v>11.734</v>
      </c>
      <c r="F8" s="57">
        <v>16221.846000000001</v>
      </c>
      <c r="G8" s="58">
        <v>723.34554279457461</v>
      </c>
      <c r="H8" s="71">
        <f t="shared" si="0"/>
        <v>-1845.1041140359939</v>
      </c>
      <c r="I8" s="72">
        <f t="shared" si="1"/>
        <v>-0.71837269970587114</v>
      </c>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row>
    <row r="9" spans="1:133">
      <c r="A9" s="2" t="s">
        <v>39</v>
      </c>
      <c r="B9" s="55">
        <v>17.128</v>
      </c>
      <c r="C9" s="57">
        <v>8619.01</v>
      </c>
      <c r="D9" s="58">
        <v>1987.2351929049858</v>
      </c>
      <c r="E9" s="55">
        <v>5.3480000000000008</v>
      </c>
      <c r="F9" s="57">
        <v>9163.1869999999999</v>
      </c>
      <c r="G9" s="58">
        <v>583.63973146024421</v>
      </c>
      <c r="H9" s="71">
        <f t="shared" si="0"/>
        <v>-1403.5954614447414</v>
      </c>
      <c r="I9" s="72">
        <f t="shared" si="1"/>
        <v>-0.70630565846256654</v>
      </c>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row>
    <row r="10" spans="1:133">
      <c r="A10" s="2" t="s">
        <v>71</v>
      </c>
      <c r="B10" s="55">
        <v>2439.4859999999999</v>
      </c>
      <c r="C10" s="57">
        <v>1615105.1270000001</v>
      </c>
      <c r="D10" s="58">
        <v>1510.4193276454132</v>
      </c>
      <c r="E10" s="55">
        <v>839.18299999999999</v>
      </c>
      <c r="F10" s="57">
        <v>1089765.7479999999</v>
      </c>
      <c r="G10" s="58">
        <v>770.05815381894354</v>
      </c>
      <c r="H10" s="71">
        <f t="shared" si="0"/>
        <v>-740.36117382646967</v>
      </c>
      <c r="I10" s="72">
        <f t="shared" si="1"/>
        <v>-0.49016929290796074</v>
      </c>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row>
    <row r="11" spans="1:133">
      <c r="A11" s="2" t="s">
        <v>96</v>
      </c>
      <c r="B11" s="55">
        <v>1.407</v>
      </c>
      <c r="C11" s="57">
        <v>1034.6840000000002</v>
      </c>
      <c r="D11" s="58">
        <v>1359.8354666738828</v>
      </c>
      <c r="E11" s="55">
        <v>0.98100000000000009</v>
      </c>
      <c r="F11" s="57">
        <v>894.79699999999991</v>
      </c>
      <c r="G11" s="58">
        <v>1096.3380520944977</v>
      </c>
      <c r="H11" s="71">
        <f t="shared" si="0"/>
        <v>-263.49741457938512</v>
      </c>
      <c r="I11" s="72">
        <f t="shared" si="1"/>
        <v>-0.19377154151148299</v>
      </c>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row>
    <row r="12" spans="1:133">
      <c r="A12" s="2" t="s">
        <v>122</v>
      </c>
      <c r="B12" s="55">
        <v>273039.14400000009</v>
      </c>
      <c r="C12" s="57">
        <v>229228998.61500001</v>
      </c>
      <c r="D12" s="58">
        <v>1191.119560132883</v>
      </c>
      <c r="E12" s="55">
        <v>271496.35699999996</v>
      </c>
      <c r="F12" s="57">
        <v>381179714.65999997</v>
      </c>
      <c r="G12" s="58">
        <v>712.25289950743036</v>
      </c>
      <c r="H12" s="71">
        <f t="shared" si="0"/>
        <v>-478.8666606254526</v>
      </c>
      <c r="I12" s="72">
        <f t="shared" si="1"/>
        <v>-0.40203072525484307</v>
      </c>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row>
    <row r="13" spans="1:133">
      <c r="A13" s="2" t="s">
        <v>150</v>
      </c>
      <c r="B13" s="55">
        <v>86.981999999999999</v>
      </c>
      <c r="C13" s="57">
        <v>106658.60999999999</v>
      </c>
      <c r="D13" s="58">
        <v>815.51784708238745</v>
      </c>
      <c r="E13" s="55">
        <v>114.3</v>
      </c>
      <c r="F13" s="57">
        <v>177064.614</v>
      </c>
      <c r="G13" s="58">
        <v>645.52706166348969</v>
      </c>
      <c r="H13" s="71">
        <f t="shared" si="0"/>
        <v>-169.99078541889776</v>
      </c>
      <c r="I13" s="72">
        <f t="shared" si="1"/>
        <v>-0.20844520573897934</v>
      </c>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row>
    <row r="14" spans="1:133">
      <c r="A14" s="2" t="s">
        <v>58</v>
      </c>
      <c r="B14" s="55">
        <v>142.59800000000001</v>
      </c>
      <c r="C14" s="57">
        <v>211446.30799999999</v>
      </c>
      <c r="D14" s="58">
        <v>674.39342568232507</v>
      </c>
      <c r="E14" s="55">
        <v>51.21200000000001</v>
      </c>
      <c r="F14" s="57">
        <v>39131.060999999994</v>
      </c>
      <c r="G14" s="58">
        <v>1308.7301670660047</v>
      </c>
      <c r="H14" s="71">
        <f t="shared" si="0"/>
        <v>634.33674138367962</v>
      </c>
      <c r="I14" s="72">
        <f t="shared" si="1"/>
        <v>0.94060338850706071</v>
      </c>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row>
    <row r="15" spans="1:133">
      <c r="A15" s="2" t="s">
        <v>45</v>
      </c>
      <c r="B15" s="55">
        <v>426.62199999999996</v>
      </c>
      <c r="C15" s="57">
        <v>968388.88199999975</v>
      </c>
      <c r="D15" s="58">
        <v>440.54822182479381</v>
      </c>
      <c r="E15" s="55">
        <v>261.44899999999996</v>
      </c>
      <c r="F15" s="57">
        <v>1292405.3729999999</v>
      </c>
      <c r="G15" s="58">
        <v>202.29643536153881</v>
      </c>
      <c r="H15" s="71">
        <f t="shared" si="0"/>
        <v>-238.251786463255</v>
      </c>
      <c r="I15" s="72">
        <f t="shared" si="1"/>
        <v>-0.54080750905404362</v>
      </c>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row>
    <row r="16" spans="1:133">
      <c r="A16" s="2" t="s">
        <v>144</v>
      </c>
      <c r="B16" s="55">
        <v>83939.540999999997</v>
      </c>
      <c r="C16" s="57">
        <v>241937279.683</v>
      </c>
      <c r="D16" s="58">
        <v>346.94752751614948</v>
      </c>
      <c r="E16" s="55">
        <v>10320.453</v>
      </c>
      <c r="F16" s="57">
        <v>104984029.39199999</v>
      </c>
      <c r="G16" s="58">
        <v>98.304980860131096</v>
      </c>
      <c r="H16" s="71">
        <f t="shared" si="0"/>
        <v>-248.6425466560184</v>
      </c>
      <c r="I16" s="72">
        <f t="shared" si="1"/>
        <v>-0.71665749698834436</v>
      </c>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row>
    <row r="17" spans="1:133">
      <c r="A17" s="2" t="s">
        <v>31</v>
      </c>
      <c r="B17" s="55">
        <v>46.617999999999995</v>
      </c>
      <c r="C17" s="57">
        <v>142074.774</v>
      </c>
      <c r="D17" s="58">
        <v>328.12299247437119</v>
      </c>
      <c r="E17" s="55">
        <v>9.9310000000000009</v>
      </c>
      <c r="F17" s="57">
        <v>46681.978999999999</v>
      </c>
      <c r="G17" s="58">
        <v>212.73733917750147</v>
      </c>
      <c r="H17" s="71">
        <f t="shared" si="0"/>
        <v>-115.38565329686972</v>
      </c>
      <c r="I17" s="72">
        <f t="shared" si="1"/>
        <v>-0.35165366628759548</v>
      </c>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row>
    <row r="18" spans="1:133">
      <c r="A18" s="2" t="s">
        <v>138</v>
      </c>
      <c r="B18" s="55">
        <v>154.37800000000001</v>
      </c>
      <c r="C18" s="57">
        <v>699324.027</v>
      </c>
      <c r="D18" s="58">
        <v>220.7531759808962</v>
      </c>
      <c r="E18" s="55">
        <v>11055.634999999997</v>
      </c>
      <c r="F18" s="57">
        <v>90691141.764999986</v>
      </c>
      <c r="G18" s="58">
        <v>121.90424318008361</v>
      </c>
      <c r="H18" s="71">
        <f t="shared" si="0"/>
        <v>-98.848932800812591</v>
      </c>
      <c r="I18" s="72">
        <f t="shared" si="1"/>
        <v>-0.44778034273611944</v>
      </c>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row>
    <row r="19" spans="1:133">
      <c r="A19" s="2" t="s">
        <v>66</v>
      </c>
      <c r="B19" s="55">
        <v>10.722000000000001</v>
      </c>
      <c r="C19" s="57">
        <v>53155.752</v>
      </c>
      <c r="D19" s="58">
        <v>201.70912077398515</v>
      </c>
      <c r="E19" s="55">
        <v>81.257000000000005</v>
      </c>
      <c r="F19" s="57">
        <v>210911.72900000002</v>
      </c>
      <c r="G19" s="58">
        <v>385.26543964750294</v>
      </c>
      <c r="H19" s="71">
        <f t="shared" si="0"/>
        <v>183.5563188735178</v>
      </c>
      <c r="I19" s="72">
        <f t="shared" si="1"/>
        <v>0.91000505167633172</v>
      </c>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row>
    <row r="20" spans="1:133">
      <c r="A20" s="2" t="s">
        <v>109</v>
      </c>
      <c r="B20" s="55">
        <v>0</v>
      </c>
      <c r="C20" s="57">
        <v>41.940999999999995</v>
      </c>
      <c r="D20" s="58">
        <v>0</v>
      </c>
      <c r="E20" s="55">
        <v>0</v>
      </c>
      <c r="F20" s="57">
        <v>28.957000000000001</v>
      </c>
      <c r="G20" s="58">
        <v>0</v>
      </c>
      <c r="H20" s="71">
        <f t="shared" si="0"/>
        <v>0</v>
      </c>
      <c r="I20" s="72">
        <v>0</v>
      </c>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row>
    <row r="21" spans="1:133">
      <c r="A21" s="2" t="s">
        <v>90</v>
      </c>
      <c r="B21" s="55">
        <v>0</v>
      </c>
      <c r="C21" s="57">
        <v>134.83500000000001</v>
      </c>
      <c r="D21" s="58">
        <v>0</v>
      </c>
      <c r="E21" s="55">
        <v>0</v>
      </c>
      <c r="F21" s="57">
        <v>142.72499999999999</v>
      </c>
      <c r="G21" s="58">
        <v>0</v>
      </c>
      <c r="H21" s="71">
        <f t="shared" si="0"/>
        <v>0</v>
      </c>
      <c r="I21" s="72">
        <v>0</v>
      </c>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row>
    <row r="22" spans="1:133">
      <c r="A22" s="2" t="s">
        <v>103</v>
      </c>
      <c r="B22" s="55">
        <v>0</v>
      </c>
      <c r="C22" s="57">
        <v>220.04000000000002</v>
      </c>
      <c r="D22" s="58">
        <v>0</v>
      </c>
      <c r="E22" s="55">
        <v>0</v>
      </c>
      <c r="F22" s="57">
        <v>163.53999999999996</v>
      </c>
      <c r="G22" s="58">
        <v>0</v>
      </c>
      <c r="H22" s="71">
        <f t="shared" si="0"/>
        <v>0</v>
      </c>
      <c r="I22" s="72">
        <v>0</v>
      </c>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row>
    <row r="23" spans="1:133">
      <c r="A23" s="2" t="s">
        <v>132</v>
      </c>
      <c r="B23" s="55">
        <v>0</v>
      </c>
      <c r="C23" s="57">
        <v>7.625</v>
      </c>
      <c r="D23" s="58">
        <v>0</v>
      </c>
      <c r="E23" s="55">
        <v>0</v>
      </c>
      <c r="F23" s="57">
        <v>15.590999999999999</v>
      </c>
      <c r="G23" s="58">
        <v>0</v>
      </c>
      <c r="H23" s="71">
        <f t="shared" si="0"/>
        <v>0</v>
      </c>
      <c r="I23" s="72">
        <v>0</v>
      </c>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row>
    <row r="24" spans="1:133">
      <c r="A24" s="2" t="s">
        <v>516</v>
      </c>
      <c r="B24" s="55"/>
      <c r="C24" s="57"/>
      <c r="D24" s="58" t="s">
        <v>1087</v>
      </c>
      <c r="E24" s="55">
        <v>4.0000000000000001E-3</v>
      </c>
      <c r="F24" s="57">
        <v>840</v>
      </c>
      <c r="G24" s="58">
        <v>4.7619047619047628</v>
      </c>
      <c r="H24" s="71"/>
      <c r="I24" s="72"/>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row>
    <row r="25" spans="1:133">
      <c r="A25" s="2" t="s">
        <v>603</v>
      </c>
      <c r="B25" s="56">
        <v>1404837.6370000003</v>
      </c>
      <c r="C25" s="57">
        <v>722689863.70399988</v>
      </c>
      <c r="D25" s="58">
        <v>1943.9011221214473</v>
      </c>
      <c r="E25" s="56">
        <v>501986.52400000003</v>
      </c>
      <c r="F25" s="57">
        <v>689837358.66600001</v>
      </c>
      <c r="G25" s="58">
        <v>727.68822635343497</v>
      </c>
      <c r="H25" s="73"/>
      <c r="I25" s="74"/>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row>
    <row r="26" spans="1:133">
      <c r="A26"/>
      <c r="B26"/>
      <c r="C26"/>
      <c r="D26"/>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row>
    <row r="27" spans="1:133">
      <c r="A27"/>
      <c r="B27"/>
      <c r="C27"/>
      <c r="D27"/>
      <c r="E27"/>
      <c r="F27"/>
      <c r="G27"/>
    </row>
    <row r="28" spans="1:133">
      <c r="A28"/>
      <c r="B28"/>
      <c r="C28"/>
      <c r="D28"/>
      <c r="E28"/>
      <c r="F28"/>
      <c r="G28"/>
    </row>
    <row r="29" spans="1:133">
      <c r="A29"/>
      <c r="B29"/>
      <c r="C29"/>
      <c r="D29"/>
      <c r="E29"/>
      <c r="F29"/>
      <c r="G29"/>
    </row>
    <row r="30" spans="1:133">
      <c r="A30"/>
      <c r="B30"/>
      <c r="C30"/>
      <c r="D30"/>
      <c r="E30"/>
      <c r="F30"/>
      <c r="G30"/>
    </row>
    <row r="31" spans="1:133">
      <c r="A31"/>
      <c r="B31"/>
      <c r="C31"/>
      <c r="D31"/>
      <c r="E31"/>
      <c r="F31"/>
      <c r="G31"/>
    </row>
    <row r="32" spans="1:133">
      <c r="A32"/>
      <c r="B32"/>
      <c r="C32"/>
      <c r="D32"/>
      <c r="E32"/>
      <c r="F32"/>
      <c r="G32"/>
    </row>
    <row r="33" spans="1:7">
      <c r="A33"/>
      <c r="B33"/>
      <c r="C33"/>
      <c r="D33"/>
      <c r="E33"/>
      <c r="F33"/>
      <c r="G33"/>
    </row>
    <row r="34" spans="1:7">
      <c r="A34"/>
      <c r="B34"/>
      <c r="C34"/>
      <c r="D34"/>
      <c r="E34"/>
      <c r="F34"/>
      <c r="G34"/>
    </row>
    <row r="35" spans="1:7">
      <c r="A35"/>
      <c r="B35"/>
      <c r="C35"/>
      <c r="D35"/>
      <c r="E35"/>
      <c r="F35"/>
      <c r="G35"/>
    </row>
    <row r="36" spans="1:7">
      <c r="A36"/>
      <c r="B36"/>
      <c r="C36"/>
      <c r="D36"/>
      <c r="E36"/>
      <c r="F36"/>
      <c r="G36"/>
    </row>
    <row r="37" spans="1:7">
      <c r="A37"/>
      <c r="B37"/>
      <c r="C37"/>
      <c r="D37"/>
      <c r="E37"/>
      <c r="F37"/>
      <c r="G37"/>
    </row>
    <row r="38" spans="1:7">
      <c r="A38"/>
      <c r="B38"/>
      <c r="C38"/>
      <c r="D38"/>
      <c r="E38"/>
      <c r="F38"/>
      <c r="G38"/>
    </row>
    <row r="39" spans="1:7">
      <c r="A39"/>
      <c r="B39"/>
      <c r="C39"/>
      <c r="D39"/>
      <c r="E39"/>
      <c r="F39"/>
      <c r="G39"/>
    </row>
    <row r="40" spans="1:7">
      <c r="A40"/>
      <c r="B40"/>
      <c r="C40"/>
      <c r="D40"/>
      <c r="E40"/>
      <c r="F40"/>
      <c r="G40"/>
    </row>
    <row r="41" spans="1:7">
      <c r="A41"/>
      <c r="B41"/>
      <c r="C41"/>
      <c r="D41"/>
      <c r="E41"/>
      <c r="F41"/>
      <c r="G41"/>
    </row>
    <row r="42" spans="1:7">
      <c r="A42"/>
      <c r="B42"/>
      <c r="C42"/>
      <c r="D42"/>
      <c r="E42"/>
      <c r="F42"/>
      <c r="G42"/>
    </row>
    <row r="43" spans="1:7">
      <c r="A43"/>
      <c r="B43"/>
      <c r="C43"/>
      <c r="D43"/>
      <c r="E43"/>
      <c r="F43"/>
      <c r="G43"/>
    </row>
    <row r="44" spans="1:7">
      <c r="A44"/>
      <c r="B44"/>
      <c r="C44"/>
      <c r="D44"/>
      <c r="E44"/>
      <c r="F44"/>
      <c r="G44"/>
    </row>
    <row r="45" spans="1:7">
      <c r="A45"/>
      <c r="B45"/>
      <c r="C45"/>
      <c r="D45"/>
      <c r="E45"/>
      <c r="F45"/>
      <c r="G45"/>
    </row>
    <row r="46" spans="1:7">
      <c r="A46"/>
      <c r="B46"/>
      <c r="C46"/>
      <c r="D46"/>
      <c r="E46"/>
      <c r="F46"/>
      <c r="G46"/>
    </row>
    <row r="47" spans="1:7">
      <c r="A47"/>
      <c r="B47"/>
      <c r="C47"/>
      <c r="D47"/>
      <c r="E47"/>
      <c r="F47"/>
      <c r="G47"/>
    </row>
    <row r="48" spans="1:7">
      <c r="A48"/>
      <c r="B48"/>
      <c r="C48"/>
      <c r="D48"/>
      <c r="E48"/>
      <c r="F48"/>
      <c r="G48"/>
    </row>
    <row r="49" spans="1:7">
      <c r="A49"/>
      <c r="B49"/>
      <c r="C49"/>
      <c r="D49"/>
      <c r="E49"/>
      <c r="F49"/>
      <c r="G49"/>
    </row>
    <row r="50" spans="1:7">
      <c r="A50"/>
      <c r="B50"/>
      <c r="C50"/>
      <c r="D50"/>
      <c r="E50"/>
      <c r="F50"/>
      <c r="G50"/>
    </row>
    <row r="51" spans="1:7">
      <c r="A51"/>
      <c r="B51"/>
      <c r="C51"/>
      <c r="D51"/>
      <c r="E51"/>
      <c r="F51"/>
      <c r="G51"/>
    </row>
    <row r="52" spans="1:7">
      <c r="A52"/>
      <c r="B52"/>
      <c r="C52"/>
      <c r="D52"/>
      <c r="E52"/>
      <c r="F52"/>
      <c r="G52"/>
    </row>
    <row r="53" spans="1:7">
      <c r="A53"/>
      <c r="B53"/>
      <c r="C53"/>
      <c r="D53"/>
      <c r="E53"/>
      <c r="F53"/>
      <c r="G53"/>
    </row>
    <row r="54" spans="1:7">
      <c r="A54"/>
      <c r="B54"/>
      <c r="C54"/>
      <c r="D54"/>
      <c r="E54"/>
      <c r="F54"/>
      <c r="G54"/>
    </row>
    <row r="55" spans="1:7">
      <c r="A55"/>
      <c r="B55"/>
      <c r="C55"/>
      <c r="D55"/>
      <c r="E55"/>
      <c r="F55"/>
      <c r="G5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9DA8E-A149-4252-9030-FB57AEF72F5B}">
  <dimension ref="A3:J55"/>
  <sheetViews>
    <sheetView workbookViewId="0">
      <selection activeCell="D6" sqref="D6:D24"/>
    </sheetView>
  </sheetViews>
  <sheetFormatPr defaultRowHeight="15"/>
  <cols>
    <col min="1" max="1" width="33.85546875" style="2" bestFit="1" customWidth="1"/>
    <col min="2" max="2" width="16.42578125" style="2" bestFit="1" customWidth="1"/>
    <col min="3" max="3" width="15.42578125" style="2" bestFit="1" customWidth="1"/>
    <col min="4" max="4" width="13.140625" style="2" bestFit="1" customWidth="1"/>
    <col min="5" max="5" width="15.42578125" style="2" bestFit="1" customWidth="1"/>
    <col min="6" max="6" width="14.140625" style="2" bestFit="1" customWidth="1"/>
    <col min="7" max="7" width="15.42578125" style="2" bestFit="1" customWidth="1"/>
    <col min="8" max="8" width="14.85546875" style="2" bestFit="1" customWidth="1"/>
    <col min="9" max="9" width="20.42578125" style="2" bestFit="1" customWidth="1"/>
    <col min="10" max="10" width="11.28515625" style="2" bestFit="1" customWidth="1"/>
    <col min="11" max="16384" width="9.140625" style="2"/>
  </cols>
  <sheetData>
    <row r="1" ht="21" customHeight="1">
      <c r="A1" t="s" s="49">
        <v>1237</v>
      </c>
    </row>
    <row r="2">
      <c r="A2" t="s" s="50">
        <v>1238</v>
      </c>
    </row>
    <row r="3" spans="1:10">
      <c r="B3" s="3" t="s">
        <v>1210</v>
      </c>
    </row>
    <row r="4" spans="1:10">
      <c r="B4" s="2">
        <v>2024</v>
      </c>
      <c r="E4" s="2">
        <v>2025</v>
      </c>
      <c r="H4" s="2" t="s">
        <v>1211</v>
      </c>
      <c r="I4" s="2" t="s">
        <v>1212</v>
      </c>
      <c r="J4" s="2" t="s">
        <v>1213</v>
      </c>
    </row>
    <row r="5" spans="1:10">
      <c r="A5" s="3" t="s">
        <v>1214</v>
      </c>
      <c r="B5" s="2" t="s">
        <v>1215</v>
      </c>
      <c r="C5" s="2" t="s">
        <v>1216</v>
      </c>
      <c r="D5" s="2" t="s">
        <v>1217</v>
      </c>
      <c r="E5" s="2" t="s">
        <v>1218</v>
      </c>
      <c r="F5" s="2" t="s">
        <v>1219</v>
      </c>
      <c r="G5" s="2" t="s">
        <v>1220</v>
      </c>
    </row>
    <row r="6" spans="1:10">
      <c r="A6" s="2" t="s">
        <v>144</v>
      </c>
      <c r="B6" s="59">
        <v>26342.147916000005</v>
      </c>
      <c r="C6" s="59">
        <v>2903247.3561959998</v>
      </c>
      <c r="D6" s="60">
        <v>9.0733391558186043E-3</v>
      </c>
      <c r="E6" s="59">
        <v>-93577.250203899952</v>
      </c>
      <c r="F6" s="59">
        <v>1301801.9644607999</v>
      </c>
      <c r="G6" s="60">
        <v>-7.1882861417142813E-2</v>
      </c>
      <c r="H6" s="19">
        <v>-67235.10228789995</v>
      </c>
      <c r="I6" s="19">
        <v>4205049.3206567997</v>
      </c>
      <c r="J6" s="22">
        <v>-1.5989135242151755E-2</v>
      </c>
    </row>
    <row r="7" spans="1:10">
      <c r="A7" s="2" t="s">
        <v>80</v>
      </c>
      <c r="B7" s="59">
        <v>80038.668660000068</v>
      </c>
      <c r="C7" s="59">
        <v>6706305.0180000002</v>
      </c>
      <c r="D7" s="60">
        <v>1.193483869957793E-2</v>
      </c>
      <c r="E7" s="59">
        <v>-62566.406720000065</v>
      </c>
      <c r="F7" s="59">
        <v>1939994.7597399999</v>
      </c>
      <c r="G7" s="60">
        <v>-3.225081222816565E-2</v>
      </c>
      <c r="H7" s="19">
        <v>17472.261940000004</v>
      </c>
      <c r="I7" s="19">
        <v>8646299.7777399998</v>
      </c>
      <c r="J7" s="22">
        <v>2.0207791065702516E-3</v>
      </c>
    </row>
    <row r="8" spans="1:10">
      <c r="A8" s="2" t="s">
        <v>52</v>
      </c>
      <c r="B8" s="59">
        <v>70085.664559999947</v>
      </c>
      <c r="C8" s="59">
        <v>2774879.75</v>
      </c>
      <c r="D8" s="60">
        <v>2.5257189815162243E-2</v>
      </c>
      <c r="E8" s="59">
        <v>51552.485629999996</v>
      </c>
      <c r="F8" s="59">
        <v>2732774.7305000001</v>
      </c>
      <c r="G8" s="60">
        <v>1.8864520757833462E-2</v>
      </c>
      <c r="H8" s="19">
        <v>121638.15018999994</v>
      </c>
      <c r="I8" s="19">
        <v>5507654.4804999996</v>
      </c>
      <c r="J8" s="22">
        <v>2.2085290684203791E-2</v>
      </c>
    </row>
    <row r="9" spans="1:10">
      <c r="A9" s="2" t="s">
        <v>96</v>
      </c>
      <c r="B9" s="59">
        <v>20452.680009999964</v>
      </c>
      <c r="C9" s="59">
        <v>3739234.1999999997</v>
      </c>
      <c r="D9" s="60">
        <v>5.469751001421619E-3</v>
      </c>
      <c r="E9" s="59">
        <v>-10754.621040000053</v>
      </c>
      <c r="F9" s="59">
        <v>3828345.6120000002</v>
      </c>
      <c r="G9" s="60">
        <v>-2.8092085015233603E-3</v>
      </c>
      <c r="H9" s="19">
        <v>9698.0589699999109</v>
      </c>
      <c r="I9" s="19">
        <v>7567579.8119999999</v>
      </c>
      <c r="J9" s="22">
        <v>1.2815271475064708E-3</v>
      </c>
    </row>
    <row r="10" spans="1:10">
      <c r="A10" s="2" t="s">
        <v>150</v>
      </c>
      <c r="B10" s="59">
        <v>-196402.65434000012</v>
      </c>
      <c r="C10" s="59">
        <v>15966415.98</v>
      </c>
      <c r="D10" s="60">
        <v>-1.2300985680569755E-2</v>
      </c>
      <c r="E10" s="59">
        <v>-538720.95005999913</v>
      </c>
      <c r="F10" s="59">
        <v>15899657.597819999</v>
      </c>
      <c r="G10" s="60">
        <v>-3.3882550410007768E-2</v>
      </c>
      <c r="H10" s="19">
        <v>-735123.60439999925</v>
      </c>
      <c r="I10" s="19">
        <v>31866073.577819999</v>
      </c>
      <c r="J10" s="22">
        <v>-2.3069161709074613E-2</v>
      </c>
    </row>
    <row r="11" spans="1:10">
      <c r="A11" s="2" t="s">
        <v>58</v>
      </c>
      <c r="B11" s="59">
        <v>279732.45721999998</v>
      </c>
      <c r="C11" s="59">
        <v>12650706.926000001</v>
      </c>
      <c r="D11" s="60">
        <v>2.2112002029316472E-2</v>
      </c>
      <c r="E11" s="59">
        <v>-344172.61420000042</v>
      </c>
      <c r="F11" s="59">
        <v>8079124.9345400017</v>
      </c>
      <c r="G11" s="60">
        <v>-4.2600234182366491E-2</v>
      </c>
      <c r="H11" s="19">
        <v>-64440.156980000436</v>
      </c>
      <c r="I11" s="19">
        <v>20729831.860540003</v>
      </c>
      <c r="J11" s="22">
        <v>-3.1085711362022505E-3</v>
      </c>
    </row>
    <row r="12" spans="1:10">
      <c r="A12" s="2" t="s">
        <v>39</v>
      </c>
      <c r="B12" s="59">
        <v>467217.74699000083</v>
      </c>
      <c r="C12" s="59">
        <v>28632763.199999999</v>
      </c>
      <c r="D12" s="60">
        <v>1.6317591974148022E-2</v>
      </c>
      <c r="E12" s="59">
        <v>-440937.31890999945</v>
      </c>
      <c r="F12" s="59">
        <v>9114518.6160000004</v>
      </c>
      <c r="G12" s="60">
        <v>-4.8377466489119891E-2</v>
      </c>
      <c r="H12" s="19">
        <v>26280.42808000138</v>
      </c>
      <c r="I12" s="19">
        <v>37747281.816</v>
      </c>
      <c r="J12" s="22">
        <v>6.9622041152806542E-4</v>
      </c>
    </row>
    <row r="13" spans="1:10">
      <c r="A13" s="2" t="s">
        <v>115</v>
      </c>
      <c r="B13" s="59">
        <v>411068.17136149999</v>
      </c>
      <c r="C13" s="59">
        <v>26962484.91618</v>
      </c>
      <c r="D13" s="60">
        <v>1.5245930508238165E-2</v>
      </c>
      <c r="E13" s="59">
        <v>-780168.81001059955</v>
      </c>
      <c r="F13" s="59">
        <v>7159990.1559505006</v>
      </c>
      <c r="G13" s="60">
        <v>-0.10896227411181836</v>
      </c>
      <c r="H13" s="19">
        <v>-369100.63864909956</v>
      </c>
      <c r="I13" s="19">
        <v>34122475.072130501</v>
      </c>
      <c r="J13" s="22">
        <v>-1.0816936282285168E-2</v>
      </c>
    </row>
    <row r="14" spans="1:10">
      <c r="A14" s="2" t="s">
        <v>31</v>
      </c>
      <c r="B14" s="59">
        <v>300376.09359000035</v>
      </c>
      <c r="C14" s="59">
        <v>13369054.378000002</v>
      </c>
      <c r="D14" s="60">
        <v>2.2468013450846352E-2</v>
      </c>
      <c r="E14" s="59">
        <v>-226949.72763999971</v>
      </c>
      <c r="F14" s="59">
        <v>7562042.7316800002</v>
      </c>
      <c r="G14" s="60">
        <v>-3.0011696004999967E-2</v>
      </c>
      <c r="H14" s="19">
        <v>73426.365950000647</v>
      </c>
      <c r="I14" s="19">
        <v>20931097.109680004</v>
      </c>
      <c r="J14" s="22">
        <v>3.508003692555761E-3</v>
      </c>
    </row>
    <row r="15" spans="1:10">
      <c r="A15" s="2" t="s">
        <v>138</v>
      </c>
      <c r="B15" s="59">
        <v>22185.70520999988</v>
      </c>
      <c r="C15" s="59">
        <v>4554387.4219999993</v>
      </c>
      <c r="D15" s="60">
        <v>4.8712819429527843E-3</v>
      </c>
      <c r="E15" s="59">
        <v>-117437.25894690017</v>
      </c>
      <c r="F15" s="59">
        <v>7247550.046863799</v>
      </c>
      <c r="G15" s="60">
        <v>-1.6203718247895134E-2</v>
      </c>
      <c r="H15" s="19">
        <v>-95251.553736900285</v>
      </c>
      <c r="I15" s="19">
        <v>11801937.468863798</v>
      </c>
      <c r="J15" s="22">
        <v>-8.070840401264252E-3</v>
      </c>
    </row>
    <row r="16" spans="1:10">
      <c r="A16" s="2" t="s">
        <v>66</v>
      </c>
      <c r="B16" s="59">
        <v>43515.431999999957</v>
      </c>
      <c r="C16" s="59">
        <v>6049250.3320000004</v>
      </c>
      <c r="D16" s="60">
        <v>7.1935247529445363E-3</v>
      </c>
      <c r="E16" s="59">
        <v>-509003.22044000024</v>
      </c>
      <c r="F16" s="59">
        <v>9615704.9399200007</v>
      </c>
      <c r="G16" s="60">
        <v>-5.2934571476590565E-2</v>
      </c>
      <c r="H16" s="19">
        <v>-465487.78844000027</v>
      </c>
      <c r="I16" s="19">
        <v>15664955.271920001</v>
      </c>
      <c r="J16" s="22">
        <v>-2.9715232527628345E-2</v>
      </c>
    </row>
    <row r="17" spans="1:10">
      <c r="A17" s="2" t="s">
        <v>45</v>
      </c>
      <c r="B17" s="59">
        <v>75107.208789999888</v>
      </c>
      <c r="C17" s="59">
        <v>5406745.2475999994</v>
      </c>
      <c r="D17" s="60">
        <v>1.3891390356025973E-2</v>
      </c>
      <c r="E17" s="59">
        <v>-737886.90965999966</v>
      </c>
      <c r="F17" s="59">
        <v>11308704.242999999</v>
      </c>
      <c r="G17" s="60">
        <v>-6.5249465703972762E-2</v>
      </c>
      <c r="H17" s="19">
        <v>-662779.70086999983</v>
      </c>
      <c r="I17" s="19">
        <v>16715449.490599997</v>
      </c>
      <c r="J17" s="22">
        <v>-3.9650725590282015E-2</v>
      </c>
    </row>
    <row r="18" spans="1:10">
      <c r="A18" s="2" t="s">
        <v>122</v>
      </c>
      <c r="B18" s="59">
        <v>31316.841383699986</v>
      </c>
      <c r="C18" s="59">
        <v>2268961.5684040003</v>
      </c>
      <c r="D18" s="60">
        <v>1.3802279342143472E-2</v>
      </c>
      <c r="E18" s="59">
        <v>-3044345.6589868995</v>
      </c>
      <c r="F18" s="59">
        <v>21992803.3814562</v>
      </c>
      <c r="G18" s="60">
        <v>-0.13842462946555592</v>
      </c>
      <c r="H18" s="19">
        <v>-3013028.8176031997</v>
      </c>
      <c r="I18" s="19">
        <v>24261764.9498602</v>
      </c>
      <c r="J18" s="22">
        <v>-0.1241883607326169</v>
      </c>
    </row>
    <row r="19" spans="1:10">
      <c r="A19" s="2" t="s">
        <v>132</v>
      </c>
      <c r="B19" s="59">
        <v>7733.5212499999752</v>
      </c>
      <c r="C19" s="59">
        <v>755625</v>
      </c>
      <c r="D19" s="60">
        <v>1.0234602150537602E-2</v>
      </c>
      <c r="E19" s="59">
        <v>-2989.4073700000049</v>
      </c>
      <c r="F19" s="59">
        <v>776017.45</v>
      </c>
      <c r="G19" s="60">
        <v>-3.8522424592385197E-3</v>
      </c>
      <c r="H19" s="19">
        <v>4744.1138799999699</v>
      </c>
      <c r="I19" s="19">
        <v>1531642.45</v>
      </c>
      <c r="J19" s="22">
        <v>3.097402974173229E-3</v>
      </c>
    </row>
    <row r="20" spans="1:10">
      <c r="A20" s="2" t="s">
        <v>103</v>
      </c>
      <c r="B20" s="59">
        <v>25925.557599999982</v>
      </c>
      <c r="C20" s="59">
        <v>1221276</v>
      </c>
      <c r="D20" s="60">
        <v>2.1228254383120589E-2</v>
      </c>
      <c r="E20" s="59">
        <v>-34957.734480000036</v>
      </c>
      <c r="F20" s="59">
        <v>1088806.6140000001</v>
      </c>
      <c r="G20" s="60">
        <v>-3.2106467788227483E-2</v>
      </c>
      <c r="H20" s="19">
        <v>-9032.1768800000536</v>
      </c>
      <c r="I20" s="19">
        <v>2310082.6140000001</v>
      </c>
      <c r="J20" s="22">
        <v>-3.9098934493777592E-3</v>
      </c>
    </row>
    <row r="21" spans="1:10">
      <c r="A21" s="2" t="s">
        <v>516</v>
      </c>
      <c r="B21" s="59"/>
      <c r="C21" s="59"/>
      <c r="D21" s="60" t="s">
        <v>1087</v>
      </c>
      <c r="E21" s="59">
        <v>111921.29706999997</v>
      </c>
      <c r="F21" s="59">
        <v>3571750.7760000001</v>
      </c>
      <c r="G21" s="60">
        <v>3.1335136208842797E-2</v>
      </c>
      <c r="H21" s="19">
        <v>111921.29706999997</v>
      </c>
      <c r="I21" s="19">
        <v>3571750.7760000001</v>
      </c>
      <c r="J21" s="22">
        <v>3.1335136208842797E-2</v>
      </c>
    </row>
    <row r="22" spans="1:10">
      <c r="A22" s="2" t="s">
        <v>90</v>
      </c>
      <c r="B22" s="59">
        <v>24937.078199999967</v>
      </c>
      <c r="C22" s="59">
        <v>1422862.5</v>
      </c>
      <c r="D22" s="60">
        <v>1.7525992989484204E-2</v>
      </c>
      <c r="E22" s="59">
        <v>-38538.910050000079</v>
      </c>
      <c r="F22" s="59">
        <v>1246489.6230000001</v>
      </c>
      <c r="G22" s="60">
        <v>-3.091795498244599E-2</v>
      </c>
      <c r="H22" s="19">
        <v>-13601.831850000111</v>
      </c>
      <c r="I22" s="19">
        <v>2669352.1230000001</v>
      </c>
      <c r="J22" s="22">
        <v>-5.0955554843448089E-3</v>
      </c>
    </row>
    <row r="23" spans="1:10">
      <c r="A23" s="2" t="s">
        <v>71</v>
      </c>
      <c r="B23" s="59">
        <v>155557.79239999998</v>
      </c>
      <c r="C23" s="59">
        <v>8848324.1180000007</v>
      </c>
      <c r="D23" s="60">
        <v>1.7580480814841683E-2</v>
      </c>
      <c r="E23" s="59">
        <v>-310073.46919999982</v>
      </c>
      <c r="F23" s="59">
        <v>7000313.8945200006</v>
      </c>
      <c r="G23" s="60">
        <v>-4.4294223640847327E-2</v>
      </c>
      <c r="H23" s="19">
        <v>-154515.67679999984</v>
      </c>
      <c r="I23" s="19">
        <v>15848638.01252</v>
      </c>
      <c r="J23" s="22">
        <v>-9.7494609112743057E-3</v>
      </c>
    </row>
    <row r="24" spans="1:10">
      <c r="A24" s="2" t="s">
        <v>109</v>
      </c>
      <c r="B24" s="59">
        <v>68467.339890000017</v>
      </c>
      <c r="C24" s="59">
        <v>1921344</v>
      </c>
      <c r="D24" s="60">
        <v>3.56351282695863E-2</v>
      </c>
      <c r="E24" s="59">
        <v>-19779.425769999987</v>
      </c>
      <c r="F24" s="59">
        <v>1625488.3200000003</v>
      </c>
      <c r="G24" s="60">
        <v>-1.2168297690382655E-2</v>
      </c>
      <c r="H24" s="19">
        <v>48687.91412000003</v>
      </c>
      <c r="I24" s="19">
        <v>3546832.3200000003</v>
      </c>
      <c r="J24" s="22">
        <v>1.3727154183595585E-2</v>
      </c>
    </row>
    <row r="25" spans="1:10">
      <c r="A25" s="2" t="s">
        <v>603</v>
      </c>
      <c r="B25" s="59">
        <v>1913657.4526912004</v>
      </c>
      <c r="C25" s="59">
        <v>146153867.91238001</v>
      </c>
      <c r="D25" s="61">
        <v>1.3093443779664102E-2</v>
      </c>
      <c r="E25" s="59">
        <v>-7149385.9109882982</v>
      </c>
      <c r="F25" s="59">
        <v>123091880.3914513</v>
      </c>
      <c r="G25" s="61">
        <v>-5.8081701963217575E-2</v>
      </c>
      <c r="H25" s="19">
        <v>-5235728.4582970962</v>
      </c>
      <c r="I25" s="19">
        <v>269245748.30383122</v>
      </c>
      <c r="J25" s="6">
        <v>-1.9445909513077331E-2</v>
      </c>
    </row>
    <row r="26" spans="1:10">
      <c r="J26" s="9"/>
    </row>
    <row r="27" spans="1:10">
      <c r="J27" s="9"/>
    </row>
    <row r="28" spans="1:10">
      <c r="J28" s="9"/>
    </row>
    <row r="29" spans="1:10">
      <c r="J29" s="9"/>
    </row>
    <row r="30" spans="1:10">
      <c r="J30" s="9"/>
    </row>
    <row r="31" spans="1:10">
      <c r="J31" s="9"/>
    </row>
    <row r="32" spans="1:10">
      <c r="J32" s="9"/>
    </row>
    <row r="33" spans="10:10">
      <c r="J33" s="9"/>
    </row>
    <row r="34" spans="10:10">
      <c r="J34" s="9"/>
    </row>
    <row r="35" spans="10:10">
      <c r="J35" s="9"/>
    </row>
    <row r="36" spans="10:10">
      <c r="J36" s="9"/>
    </row>
    <row r="37" spans="10:10">
      <c r="J37" s="9"/>
    </row>
    <row r="38" spans="10:10">
      <c r="J38" s="9"/>
    </row>
    <row r="39" spans="10:10">
      <c r="J39" s="9"/>
    </row>
    <row r="40" spans="10:10">
      <c r="J40" s="9"/>
    </row>
    <row r="41" spans="10:10">
      <c r="J41" s="9"/>
    </row>
    <row r="42" spans="10:10">
      <c r="J42" s="9"/>
    </row>
    <row r="43" spans="10:10">
      <c r="J43" s="9"/>
    </row>
    <row r="44" spans="10:10">
      <c r="J44" s="9"/>
    </row>
    <row r="45" spans="10:10">
      <c r="J45" s="9"/>
    </row>
    <row r="46" spans="10:10">
      <c r="J46" s="9"/>
    </row>
    <row r="47" spans="10:10">
      <c r="J47" s="9"/>
    </row>
    <row r="48" spans="10:10">
      <c r="J48" s="9"/>
    </row>
    <row r="49" spans="10:10">
      <c r="J49" s="9"/>
    </row>
    <row r="50" spans="10:10">
      <c r="J50" s="9"/>
    </row>
    <row r="51" spans="10:10">
      <c r="J51" s="9"/>
    </row>
    <row r="52" spans="10:10">
      <c r="J52" s="9"/>
    </row>
    <row r="53" spans="10:10">
      <c r="J53" s="9"/>
    </row>
    <row r="54" spans="10:10">
      <c r="J54" s="9"/>
    </row>
    <row r="55" spans="10:10">
      <c r="J55" s="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D2BAF-4873-44E5-8730-2579F0A2FA03}">
  <dimension ref="A3:I24"/>
  <sheetViews>
    <sheetView workbookViewId="0">
      <selection activeCell="F2" sqref="F2"/>
    </sheetView>
  </sheetViews>
  <sheetFormatPr defaultRowHeight="15"/>
  <cols>
    <col min="1" max="1" width="29.140625" style="2" bestFit="1" customWidth="1"/>
    <col min="2" max="2" width="18.5703125" style="2" bestFit="1" customWidth="1"/>
    <col min="3" max="3" width="20.5703125" style="2" bestFit="1" customWidth="1"/>
    <col min="4" max="4" width="17.85546875" style="2" bestFit="1" customWidth="1"/>
    <col min="5" max="5" width="20.5703125" style="2" bestFit="1" customWidth="1"/>
    <col min="6" max="6" width="22.85546875" style="2" bestFit="1" customWidth="1"/>
    <col min="7" max="7" width="25.7109375" style="2" bestFit="1" customWidth="1"/>
    <col min="8" max="8" width="22.85546875" style="2" bestFit="1" customWidth="1"/>
    <col min="9" max="9" width="25.7109375" style="2" bestFit="1" customWidth="1"/>
    <col min="10" max="16384" width="9.140625" style="2"/>
  </cols>
  <sheetData>
    <row r="1" ht="21" customHeight="1">
      <c r="A1" t="s" s="49">
        <v>1239</v>
      </c>
    </row>
    <row r="2">
      <c r="A2" t="s" s="50">
        <v>1240</v>
      </c>
    </row>
    <row r="3" spans="1:9">
      <c r="B3" s="3" t="s">
        <v>1221</v>
      </c>
      <c r="H3"/>
      <c r="I3"/>
    </row>
    <row r="4" spans="1:9">
      <c r="B4" s="2">
        <v>2024</v>
      </c>
      <c r="D4" s="2">
        <v>2025</v>
      </c>
      <c r="F4" s="2" t="s">
        <v>1222</v>
      </c>
      <c r="G4" s="2" t="s">
        <v>1223</v>
      </c>
      <c r="H4"/>
      <c r="I4"/>
    </row>
    <row r="5" spans="1:9">
      <c r="A5" s="3" t="s">
        <v>1224</v>
      </c>
      <c r="B5" s="2" t="s">
        <v>1225</v>
      </c>
      <c r="C5" s="2" t="s">
        <v>1226</v>
      </c>
      <c r="D5" s="2" t="s">
        <v>1227</v>
      </c>
      <c r="E5" s="2" t="s">
        <v>1228</v>
      </c>
      <c r="H5"/>
      <c r="I5"/>
    </row>
    <row r="6" spans="1:9">
      <c r="A6" s="2" t="s">
        <v>1125</v>
      </c>
      <c r="B6" s="62">
        <v>0</v>
      </c>
      <c r="C6" s="62">
        <v>562462.79999999993</v>
      </c>
      <c r="D6" s="62">
        <v>0</v>
      </c>
      <c r="E6" s="62">
        <v>482949</v>
      </c>
      <c r="F6" s="23">
        <v>0</v>
      </c>
      <c r="G6" s="23">
        <v>1045411.7999999999</v>
      </c>
      <c r="H6"/>
      <c r="I6"/>
    </row>
    <row r="7" spans="1:9">
      <c r="A7" s="2" t="s">
        <v>87</v>
      </c>
      <c r="B7" s="62">
        <v>0</v>
      </c>
      <c r="C7" s="62">
        <v>71250</v>
      </c>
      <c r="D7" s="62"/>
      <c r="E7" s="62"/>
      <c r="F7" s="23">
        <v>0</v>
      </c>
      <c r="G7" s="23">
        <v>71250</v>
      </c>
      <c r="H7"/>
      <c r="I7"/>
    </row>
    <row r="8" spans="1:9">
      <c r="A8" s="2" t="s">
        <v>93</v>
      </c>
      <c r="B8" s="62"/>
      <c r="C8" s="62"/>
      <c r="D8" s="62">
        <v>0</v>
      </c>
      <c r="E8" s="62">
        <v>233532.00000000003</v>
      </c>
      <c r="F8" s="23">
        <v>0</v>
      </c>
      <c r="G8" s="23">
        <v>233532.00000000003</v>
      </c>
      <c r="H8"/>
      <c r="I8"/>
    </row>
    <row r="9" spans="1:9">
      <c r="A9" s="2" t="s">
        <v>48</v>
      </c>
      <c r="B9" s="62"/>
      <c r="C9" s="62"/>
      <c r="D9" s="62">
        <v>0</v>
      </c>
      <c r="E9" s="62">
        <v>249417</v>
      </c>
      <c r="F9" s="23">
        <v>0</v>
      </c>
      <c r="G9" s="23">
        <v>249417</v>
      </c>
      <c r="H9"/>
      <c r="I9"/>
    </row>
    <row r="10" spans="1:9">
      <c r="A10" s="2" t="s">
        <v>61</v>
      </c>
      <c r="B10" s="62">
        <v>0</v>
      </c>
      <c r="C10" s="62">
        <v>491212.79999999993</v>
      </c>
      <c r="D10" s="62"/>
      <c r="E10" s="62"/>
      <c r="F10" s="23">
        <v>0</v>
      </c>
      <c r="G10" s="23">
        <v>491212.79999999993</v>
      </c>
      <c r="H10"/>
      <c r="I10"/>
    </row>
    <row r="11" spans="1:9">
      <c r="A11" s="2" t="s">
        <v>1116</v>
      </c>
      <c r="B11" s="62">
        <v>501696.00000000023</v>
      </c>
      <c r="C11" s="62">
        <v>0</v>
      </c>
      <c r="D11" s="62">
        <v>928200</v>
      </c>
      <c r="E11" s="62">
        <v>0</v>
      </c>
      <c r="F11" s="23">
        <v>1429896.0000000002</v>
      </c>
      <c r="G11" s="23">
        <v>0</v>
      </c>
      <c r="H11"/>
      <c r="I11"/>
    </row>
    <row r="12" spans="1:9">
      <c r="A12" s="2" t="s">
        <v>35</v>
      </c>
      <c r="B12" s="62"/>
      <c r="C12" s="62"/>
      <c r="D12" s="62">
        <v>928200</v>
      </c>
      <c r="E12" s="62">
        <v>0</v>
      </c>
      <c r="F12" s="23">
        <v>928200</v>
      </c>
      <c r="G12" s="23">
        <v>0</v>
      </c>
      <c r="H12"/>
      <c r="I12"/>
    </row>
    <row r="13" spans="1:9">
      <c r="A13" s="2" t="s">
        <v>77</v>
      </c>
      <c r="B13" s="62">
        <v>501696.00000000023</v>
      </c>
      <c r="C13" s="62">
        <v>0</v>
      </c>
      <c r="D13" s="62"/>
      <c r="E13" s="62"/>
      <c r="F13" s="23">
        <v>501696.00000000023</v>
      </c>
      <c r="G13" s="23">
        <v>0</v>
      </c>
      <c r="H13"/>
      <c r="I13"/>
    </row>
    <row r="14" spans="1:9">
      <c r="A14" s="2" t="s">
        <v>1112</v>
      </c>
      <c r="B14" s="62">
        <v>5304748.8</v>
      </c>
      <c r="C14" s="62">
        <v>0</v>
      </c>
      <c r="D14" s="62">
        <v>4742941.9693999998</v>
      </c>
      <c r="E14" s="62">
        <v>0</v>
      </c>
      <c r="F14" s="23">
        <v>10047690.769400001</v>
      </c>
      <c r="G14" s="23">
        <v>0</v>
      </c>
      <c r="H14"/>
      <c r="I14"/>
    </row>
    <row r="15" spans="1:9">
      <c r="A15" s="2" t="s">
        <v>27</v>
      </c>
      <c r="B15" s="62">
        <v>4375488</v>
      </c>
      <c r="C15" s="62">
        <v>0</v>
      </c>
      <c r="D15" s="62"/>
      <c r="E15" s="62"/>
      <c r="F15" s="23">
        <v>4375488</v>
      </c>
      <c r="G15" s="23">
        <v>0</v>
      </c>
      <c r="H15"/>
      <c r="I15"/>
    </row>
    <row r="16" spans="1:9">
      <c r="A16" s="2" t="s">
        <v>118</v>
      </c>
      <c r="B16" s="62"/>
      <c r="C16" s="62"/>
      <c r="D16" s="62">
        <v>14245.484000000037</v>
      </c>
      <c r="E16" s="62">
        <v>0</v>
      </c>
      <c r="F16" s="23">
        <v>14245.484000000037</v>
      </c>
      <c r="G16" s="23">
        <v>0</v>
      </c>
      <c r="H16"/>
      <c r="I16"/>
    </row>
    <row r="17" spans="1:9">
      <c r="A17" s="2" t="s">
        <v>112</v>
      </c>
      <c r="B17" s="62"/>
      <c r="C17" s="62"/>
      <c r="D17" s="62">
        <v>3917508.111</v>
      </c>
      <c r="E17" s="62">
        <v>0</v>
      </c>
      <c r="F17" s="23">
        <v>3917508.111</v>
      </c>
      <c r="G17" s="23">
        <v>0</v>
      </c>
      <c r="H17"/>
      <c r="I17"/>
    </row>
    <row r="18" spans="1:9">
      <c r="A18" s="2" t="s">
        <v>141</v>
      </c>
      <c r="B18" s="62"/>
      <c r="C18" s="62"/>
      <c r="D18" s="62">
        <v>379879.57439999975</v>
      </c>
      <c r="E18" s="62">
        <v>0</v>
      </c>
      <c r="F18" s="23">
        <v>379879.57439999975</v>
      </c>
      <c r="G18" s="23">
        <v>0</v>
      </c>
      <c r="H18"/>
      <c r="I18"/>
    </row>
    <row r="19" spans="1:9">
      <c r="A19" s="2" t="s">
        <v>55</v>
      </c>
      <c r="B19" s="62">
        <v>509932.79999999993</v>
      </c>
      <c r="C19" s="62">
        <v>0</v>
      </c>
      <c r="D19" s="62"/>
      <c r="E19" s="62"/>
      <c r="F19" s="23">
        <v>509932.79999999993</v>
      </c>
      <c r="G19" s="23">
        <v>0</v>
      </c>
      <c r="H19"/>
      <c r="I19"/>
    </row>
    <row r="20" spans="1:9">
      <c r="A20" s="2" t="s">
        <v>42</v>
      </c>
      <c r="B20" s="62"/>
      <c r="C20" s="62"/>
      <c r="D20" s="62">
        <v>431308.79999999958</v>
      </c>
      <c r="E20" s="62">
        <v>0</v>
      </c>
      <c r="F20" s="23">
        <v>431308.79999999958</v>
      </c>
      <c r="G20" s="23">
        <v>0</v>
      </c>
      <c r="H20"/>
      <c r="I20"/>
    </row>
    <row r="21" spans="1:9">
      <c r="A21" s="2" t="s">
        <v>69</v>
      </c>
      <c r="B21" s="62">
        <v>419328.00000000035</v>
      </c>
      <c r="C21" s="62">
        <v>0</v>
      </c>
      <c r="D21" s="62"/>
      <c r="E21" s="62"/>
      <c r="F21" s="23">
        <v>419328.00000000035</v>
      </c>
      <c r="G21" s="23">
        <v>0</v>
      </c>
      <c r="H21"/>
      <c r="I21"/>
    </row>
    <row r="22" spans="1:9">
      <c r="A22" s="2" t="s">
        <v>603</v>
      </c>
      <c r="B22" s="62">
        <v>5806444.7999999998</v>
      </c>
      <c r="C22" s="62">
        <v>562462.79999999993</v>
      </c>
      <c r="D22" s="62">
        <v>5671141.9693999989</v>
      </c>
      <c r="E22" s="62">
        <v>482949</v>
      </c>
      <c r="F22" s="23">
        <v>11477586.769400001</v>
      </c>
      <c r="G22" s="23">
        <v>1045411.7999999999</v>
      </c>
      <c r="H22"/>
      <c r="I22"/>
    </row>
    <row r="23" spans="1:9">
      <c r="A23"/>
      <c r="B23"/>
      <c r="C23"/>
      <c r="D23"/>
      <c r="E23"/>
      <c r="F23"/>
      <c r="G23"/>
      <c r="H23"/>
      <c r="I23"/>
    </row>
    <row r="24" spans="1:9">
      <c r="A24"/>
      <c r="B24"/>
      <c r="C24"/>
      <c r="D24"/>
      <c r="E24"/>
      <c r="F24"/>
      <c r="G24"/>
      <c r="H24"/>
      <c r="I24"/>
    </row>
  </sheetData>
  <pageMargins left="0.7" right="0.7" top="0.75" bottom="0.75" header="0.3" footer="0.3"/>
  <pageSetup orientation="portrait" horizontalDpi="1200" verticalDpi="1200"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8A21B-B091-42F4-9D45-7B316CFC74FC}">
  <dimension ref="A2:X34"/>
  <sheetViews>
    <sheetView zoomScale="85" zoomScaleNormal="85" workbookViewId="0">
      <selection activeCell="E23" sqref="E23"/>
    </sheetView>
  </sheetViews>
  <sheetFormatPr defaultRowHeight="15"/>
  <cols>
    <col min="1" max="1" width="25.7109375" style="2" bestFit="1" customWidth="1"/>
    <col min="2" max="2" width="25.28515625" style="2" bestFit="1" customWidth="1"/>
    <col min="3" max="3" width="10.5703125" style="2" bestFit="1" customWidth="1"/>
    <col min="4" max="5" width="33.42578125" style="2" bestFit="1" customWidth="1"/>
    <col min="6" max="6" width="18.42578125" style="2" bestFit="1" customWidth="1"/>
    <col min="7" max="7" width="15.7109375" style="2" bestFit="1" customWidth="1"/>
    <col min="8" max="8" width="13.42578125" style="2" bestFit="1" customWidth="1"/>
    <col min="9" max="9" width="14.140625" style="2" bestFit="1" customWidth="1"/>
    <col min="10" max="10" width="11.42578125" style="2" bestFit="1" customWidth="1"/>
    <col min="11" max="11" width="16.140625" style="2" bestFit="1" customWidth="1"/>
    <col min="12" max="12" width="13.5703125" style="2" bestFit="1" customWidth="1"/>
    <col min="13" max="13" width="14.7109375" style="2" bestFit="1" customWidth="1"/>
    <col min="14" max="14" width="9.85546875" style="2" bestFit="1" customWidth="1"/>
    <col min="15" max="15" width="12.7109375" style="2" bestFit="1" customWidth="1"/>
    <col min="16" max="16" width="9.7109375" style="2" bestFit="1" customWidth="1"/>
    <col min="17" max="17" width="8.85546875" style="2" bestFit="1" customWidth="1"/>
    <col min="18" max="18" width="9" style="2" bestFit="1" customWidth="1"/>
    <col min="19" max="23" width="9.140625" style="2"/>
    <col min="24" max="24" width="5.7109375" style="2" bestFit="1" customWidth="1"/>
    <col min="25" max="16384" width="9.140625" style="2"/>
  </cols>
  <sheetData>
    <row r="1" ht="21" customHeight="1">
      <c r="A1" t="s" s="49">
        <v>1241</v>
      </c>
    </row>
    <row r="2" spans="1:24">
      <c r="A2" t="s" s="50">
        <v>1242</v>
      </c>
      <c r="X2" s="2" t="str" cm="1">
        <f t="array" ref="X2:X10">_xlfn._xlws.FILTER(Sourcing_Data[event_id], (Sourcing_Data[event_type]="RFQ")+(Sourcing_Data[event_type]="RFP"))</f>
        <v>SE-01</v>
      </c>
    </row>
    <row r="3" spans="1:24">
      <c r="A3" s="75" t="s">
        <v>1139</v>
      </c>
      <c r="B3" s="5" t="s">
        <v>1118</v>
      </c>
      <c r="X3" s="2" t="str">
        <v>SE-02</v>
      </c>
    </row>
    <row r="4" spans="1:24">
      <c r="A4" s="75" t="s">
        <v>1140</v>
      </c>
      <c r="B4" s="5" t="str">
        <f>_xlfn.XLOOKUP(B3,Sourcing_Data[event_id],Sourcing_Data[material_name])</f>
        <v>Copper bonding wire</v>
      </c>
      <c r="D4" t="s" s="79">
        <v>1243</v>
      </c>
      <c r="E4" s="80"/>
      <c r="I4" s="7"/>
      <c r="X4" s="2" t="str">
        <v>SE-03</v>
      </c>
    </row>
    <row r="5" spans="1:24">
      <c r="A5" s="75" t="s">
        <v>1141</v>
      </c>
      <c r="B5" s="36">
        <f>_xlfn.XLOOKUP(B3,Sourcing_Data[event_id],Sourcing_Data[est_annual_volume])</f>
        <v>142454840</v>
      </c>
      <c r="D5" s="75" t="s">
        <v>1165</v>
      </c>
      <c r="E5" s="76" t="str" cm="1">
        <f t="array" ref="E5">_xlfn.XLOOKUP(MIN(_xlfn.ANCHORARRAY(D14)),_xlfn.ANCHORARRAY(D14),_xlfn.ANCHORARRAY(B14))</f>
        <v>Boise Pack Solutions</v>
      </c>
      <c r="I5" s="7"/>
      <c r="X5" s="2" t="str">
        <v>SE-04</v>
      </c>
    </row>
    <row r="6" spans="1:24">
      <c r="A6" s="75" t="s">
        <v>1142</v>
      </c>
      <c r="B6" s="26">
        <v>2024</v>
      </c>
      <c r="D6" s="75" t="s">
        <v>1166</v>
      </c>
      <c r="E6" s="77" t="str" cm="1">
        <f t="array" ref="E6">_xlfn.XLOOKUP(MIN(_xlfn.ANCHORARRAY(N14)),_xlfn.ANCHORARRAY(N14),_xlfn.ANCHORARRAY(B14))</f>
        <v>Kyushu Underfill</v>
      </c>
      <c r="F6" s="31"/>
      <c r="I6" s="7"/>
      <c r="X6" s="2" t="str">
        <v>SE-05</v>
      </c>
    </row>
    <row r="7" spans="1:24">
      <c r="A7" s="75" t="s">
        <v>1143</v>
      </c>
      <c r="B7" s="26">
        <v>25</v>
      </c>
      <c r="D7" s="75" t="s">
        <v>1167</v>
      </c>
      <c r="E7" s="78" cm="1">
        <f t="array" ref="E7">_xlfn.XLOOKUP(MIN(_xlfn.ANCHORARRAY(D14)),_xlfn.ANCHORARRAY(D14),_xlfn.ANCHORARRAY(O14))-MIN(_xlfn.ANCHORARRAY(O14))</f>
        <v>24958.186774999951</v>
      </c>
      <c r="I7" s="7"/>
      <c r="X7" s="2" t="str">
        <v>SE-06</v>
      </c>
    </row>
    <row r="8" spans="1:24">
      <c r="A8" s="75" t="s">
        <v>1144</v>
      </c>
      <c r="B8" s="27">
        <v>0.2</v>
      </c>
      <c r="D8" s="75" t="s">
        <v>1168</v>
      </c>
      <c r="E8" s="76" t="str">
        <f>IF(E5=E6,"Lowest price is also lowest TCO","Lowest price is NOT the best value")</f>
        <v>Lowest price is NOT the best value</v>
      </c>
      <c r="I8" s="25"/>
      <c r="X8" s="2" t="str">
        <v>SE-07</v>
      </c>
    </row>
    <row r="9" spans="1:24">
      <c r="A9" s="75" t="s">
        <v>1145</v>
      </c>
      <c r="B9" s="28">
        <v>0.08</v>
      </c>
      <c r="I9" s="25"/>
      <c r="X9" s="2" t="str">
        <v>SE-08</v>
      </c>
    </row>
    <row r="10" spans="1:24">
      <c r="A10" s="75" t="s">
        <v>1146</v>
      </c>
      <c r="B10" s="28">
        <v>0.85</v>
      </c>
      <c r="I10" s="25"/>
      <c r="X10" s="2" t="str">
        <v>SE-09</v>
      </c>
    </row>
    <row r="11" spans="1:24">
      <c r="A11" t="s" s="50">
        <v>1169</v>
      </c>
    </row>
    <row r="13" spans="1:24" ht="30" customHeight="1">
      <c r="A13" s="51" t="s">
        <v>1147</v>
      </c>
      <c r="B13" s="51" t="s">
        <v>1148</v>
      </c>
      <c r="C13" s="51" t="s">
        <v>1149</v>
      </c>
      <c r="D13" s="51" t="s">
        <v>1150</v>
      </c>
      <c r="E13" s="51" t="s">
        <v>1151</v>
      </c>
      <c r="F13" s="51" t="s">
        <v>1152</v>
      </c>
      <c r="G13" s="51" t="s">
        <v>1153</v>
      </c>
      <c r="H13" s="51" t="s">
        <v>1154</v>
      </c>
      <c r="I13" s="51" t="s">
        <v>1155</v>
      </c>
      <c r="J13" s="51" t="s">
        <v>1156</v>
      </c>
      <c r="K13" s="51" t="s">
        <v>1157</v>
      </c>
      <c r="L13" s="51" t="s">
        <v>1158</v>
      </c>
      <c r="M13" s="51" t="s">
        <v>1159</v>
      </c>
      <c r="N13" s="51" t="s">
        <v>1160</v>
      </c>
      <c r="O13" s="51" t="s">
        <v>1161</v>
      </c>
      <c r="P13" s="51" t="s">
        <v>1162</v>
      </c>
      <c r="Q13" s="51" t="s">
        <v>1163</v>
      </c>
      <c r="R13" s="51" t="s">
        <v>1164</v>
      </c>
    </row>
    <row r="14" spans="1:24">
      <c r="A14" s="81" t="str" cm="1">
        <f t="array" ref="A14:A16">_xlfn._xlws.FILTER(RFQ_Data[supplier_id],RFQ_Data[event_id]=$B$3)</f>
        <v>S16</v>
      </c>
      <c r="B14" s="81" t="str" cm="1">
        <f t="array" ref="B14:B16">_xlfn._xlws.FILTER(RFQ_Data[supplier_name],RFQ_Data[event_id]=$B$3)</f>
        <v>Penang Bond Materials</v>
      </c>
      <c r="C14" s="81" t="b" cm="1">
        <f t="array" ref="C14:C16">_xlfn._xlws.FILTER(RFQ_Data[is_incumbent],RFQ_Data[event_id]=$B$3)</f>
        <v>1</v>
      </c>
      <c r="D14" s="82" cm="1">
        <f t="array" ref="D14:D16">_xlfn._xlws.FILTER(RFQ_Data[unit_price],RFQ_Data[event_id]=$B$3)</f>
        <v>4.1999999999999997E-3</v>
      </c>
      <c r="E14" s="82" cm="1">
        <f t="array" ref="E14:E16">_xlfn._xlws.FILTER(RFQ_Data[freight_per_unit],RFQ_Data[event_id]=$B$3)</f>
        <v>2.0000000000000001E-4</v>
      </c>
      <c r="F14" s="81" cm="1">
        <f t="array" ref="F14:F16">_xlfn._xlws.FILTER(RFQ_Data[supplier_defect_ppm],RFQ_Data[event_id]=$B$3)</f>
        <v>800</v>
      </c>
      <c r="G14" s="81" cm="1">
        <f t="array" ref="G14:G16">_xlfn._xlws.FILTER(RFQ_Data[payment_terms_days],RFQ_Data[event_id]=$B$3)</f>
        <v>30</v>
      </c>
      <c r="H14" s="81" cm="1">
        <f t="array" ref="H14:H16">_xlfn._xlws.FILTER(RFQ_Data[one_time_qualification_cost],RFQ_Data[event_id]=$B$3)</f>
        <v>0</v>
      </c>
      <c r="I14" s="83" cm="1">
        <f t="array" ref="I14:I16">IFERROR(AVERAGEIFS(PO_Data[On_Time],PO_Data[supplier_id],_xlfn.ANCHORARRAY(A14),PO_Data[Order_Year],$B$6),$B$10)</f>
        <v>0.75</v>
      </c>
      <c r="J14" s="82" cm="1">
        <f t="array" ref="J14:J16">_xlfn.ANCHORARRAY(D14)*_xlfn.ANCHORARRAY(F14)/1000000*$B$7</f>
        <v>8.3999999999999995E-5</v>
      </c>
      <c r="K14" s="82" cm="1">
        <f t="array" ref="K14:K16">_xlfn.ANCHORARRAY(D14)*(1-_xlfn.ANCHORARRAY(I14))*$B$8</f>
        <v>2.1000000000000001E-4</v>
      </c>
      <c r="L14" s="82" cm="1">
        <f t="array" ref="L14:L16">_xlfn.ANCHORARRAY(D14)*$B$9*(_xlfn.ANCHORARRAY(G14)-30)/365</f>
        <v>0</v>
      </c>
      <c r="M14" s="82" cm="1">
        <f t="array" ref="M14:M16">_xlfn.ANCHORARRAY(H14)/$B$5</f>
        <v>0</v>
      </c>
      <c r="N14" s="82" cm="1">
        <f t="array" ref="N14:N16">_xlfn.ANCHORARRAY(D14)+_xlfn.ANCHORARRAY(E14)+_xlfn.ANCHORARRAY(J14)+_xlfn.ANCHORARRAY(K14)-_xlfn.ANCHORARRAY(L14)+_xlfn.ANCHORARRAY(M14)</f>
        <v>4.6939999999999994E-3</v>
      </c>
      <c r="O14" s="84" cm="1">
        <f t="array" ref="O14:O16">_xlfn.ANCHORARRAY(N14)*$B$5</f>
        <v>668683.0189599999</v>
      </c>
      <c r="P14" s="81" cm="1">
        <f t="array" ref="P14:P16">_xlfn.RANK.EQ(_xlfn.ANCHORARRAY(D14),_xlfn.ANCHORARRAY(D14),1)</f>
        <v>3</v>
      </c>
      <c r="Q14" s="81" cm="1">
        <f t="array" ref="Q14:Q16">_xlfn.RANK.EQ(_xlfn.ANCHORARRAY(N14),_xlfn.ANCHORARRAY(N14),1)</f>
        <v>3</v>
      </c>
      <c r="R14" s="81" t="b" cm="1">
        <f t="array" ref="R14:R16">_xlfn._xlws.FILTER(RFQ_Data[awarded],RFQ_Data[event_id]=$B$3)</f>
        <v>0</v>
      </c>
      <c r="S14" s="24"/>
    </row>
    <row r="15" spans="1:24">
      <c r="A15" s="81" t="str">
        <v>S18</v>
      </c>
      <c r="B15" s="81" t="str">
        <v>Kyushu Underfill</v>
      </c>
      <c r="C15" s="81" t="b">
        <v>0</v>
      </c>
      <c r="D15" s="82">
        <v>4.0000000000000001E-3</v>
      </c>
      <c r="E15" s="82">
        <v>2.0000000000000001E-4</v>
      </c>
      <c r="F15" s="81">
        <v>250</v>
      </c>
      <c r="G15" s="81">
        <v>30</v>
      </c>
      <c r="H15" s="81">
        <v>15000</v>
      </c>
      <c r="I15" s="83">
        <v>0.8</v>
      </c>
      <c r="J15" s="82">
        <v>2.4999999999999998E-5</v>
      </c>
      <c r="K15" s="82">
        <v>1.5999999999999999E-4</v>
      </c>
      <c r="L15" s="82">
        <v>0</v>
      </c>
      <c r="M15" s="82">
        <v>1.0529652765746674E-4</v>
      </c>
      <c r="N15" s="82">
        <v>4.4902965276574667E-3</v>
      </c>
      <c r="O15" s="84">
        <v>639664.47340000002</v>
      </c>
      <c r="P15" s="81">
        <v>2</v>
      </c>
      <c r="Q15" s="81">
        <v>1</v>
      </c>
      <c r="R15" s="81" t="b">
        <v>1</v>
      </c>
    </row>
    <row r="16" spans="1:24">
      <c r="A16" s="81" t="str">
        <v>S19</v>
      </c>
      <c r="B16" s="81" t="str">
        <v>Boise Pack Solutions</v>
      </c>
      <c r="C16" s="81" t="b">
        <v>0</v>
      </c>
      <c r="D16" s="82">
        <v>3.7000000000000002E-3</v>
      </c>
      <c r="E16" s="82">
        <v>1E-4</v>
      </c>
      <c r="F16" s="81">
        <v>250</v>
      </c>
      <c r="G16" s="81">
        <v>30</v>
      </c>
      <c r="H16" s="81">
        <v>120000</v>
      </c>
      <c r="I16" s="83">
        <v>1</v>
      </c>
      <c r="J16" s="82">
        <v>2.3125E-5</v>
      </c>
      <c r="K16" s="82">
        <v>0</v>
      </c>
      <c r="L16" s="82">
        <v>0</v>
      </c>
      <c r="M16" s="82">
        <v>8.4237222125973393E-4</v>
      </c>
      <c r="N16" s="82">
        <v>4.6654972212597338E-3</v>
      </c>
      <c r="O16" s="84">
        <v>664622.66017499997</v>
      </c>
      <c r="P16" s="81">
        <v>1</v>
      </c>
      <c r="Q16" s="81">
        <v>2</v>
      </c>
      <c r="R16" s="81" t="b">
        <v>0</v>
      </c>
    </row>
    <row r="17" spans="7:9">
      <c r="G17" s="29"/>
      <c r="H17" s="31"/>
    </row>
    <row r="18" spans="7:9">
      <c r="G18" s="29"/>
      <c r="H18" s="29"/>
      <c r="I18" s="31"/>
    </row>
    <row r="19" spans="7:9">
      <c r="G19" s="29"/>
      <c r="H19" s="29"/>
      <c r="I19" s="31"/>
    </row>
    <row r="20" spans="7:9">
      <c r="G20" s="29"/>
      <c r="H20" s="29"/>
      <c r="I20" s="31"/>
    </row>
    <row r="21" spans="7:9">
      <c r="G21" s="29"/>
      <c r="H21" s="29"/>
      <c r="I21" s="31"/>
    </row>
    <row r="22" spans="7:9">
      <c r="G22" s="29"/>
      <c r="H22" s="29"/>
      <c r="I22" s="31"/>
    </row>
    <row r="23" spans="7:9">
      <c r="G23" s="29"/>
      <c r="H23" s="29"/>
      <c r="I23" s="31"/>
    </row>
    <row r="24" spans="7:9">
      <c r="G24" s="29"/>
      <c r="H24" s="29"/>
      <c r="I24" s="31"/>
    </row>
    <row r="25" spans="7:9">
      <c r="G25" s="29"/>
      <c r="H25" s="29"/>
      <c r="I25" s="31"/>
    </row>
    <row r="26" spans="7:9">
      <c r="G26" s="29"/>
      <c r="H26" s="29"/>
      <c r="I26" s="31"/>
    </row>
    <row r="27" spans="7:9">
      <c r="G27" s="29"/>
      <c r="H27" s="29"/>
      <c r="I27" s="31"/>
    </row>
    <row r="28" spans="7:9">
      <c r="G28" s="29"/>
      <c r="H28" s="29"/>
      <c r="I28" s="31"/>
    </row>
    <row r="29" spans="7:9">
      <c r="G29" s="29"/>
      <c r="H29" s="29"/>
      <c r="I29" s="31"/>
    </row>
    <row r="30" spans="7:9">
      <c r="G30" s="29"/>
      <c r="H30" s="30"/>
      <c r="I30" s="31"/>
    </row>
    <row r="31" spans="7:9">
      <c r="G31" s="29"/>
      <c r="H31" s="29"/>
      <c r="I31" s="31"/>
    </row>
    <row r="32" spans="7:9">
      <c r="G32" s="29"/>
      <c r="H32" s="29"/>
      <c r="I32" s="31"/>
    </row>
    <row r="33" spans="7:9">
      <c r="G33" s="29"/>
      <c r="H33" s="30"/>
      <c r="I33" s="31"/>
    </row>
    <row r="34" spans="7:9">
      <c r="G34" s="29"/>
      <c r="H34" s="29"/>
    </row>
  </sheetData>
  <conditionalFormatting sqref="A14:R16">
    <cfRule type="expression" dxfId="5" priority="1">
      <formula>$Q14=1</formula>
    </cfRule>
  </conditionalFormatting>
  <dataValidations count="1">
    <dataValidation type="list" allowBlank="1" showInputMessage="1" showErrorMessage="1" sqref="B3" xr:uid="{261D1610-B099-47B5-9CEC-D6DAA8624F71}">
      <formula1>_xlfn.ANCHORARRAY($X$2)</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AC33"/>
  <sheetViews>
    <sheetView workbookViewId="0"/>
  </sheetViews>
  <sheetFormatPr defaultRowHeight="15"/>
  <cols>
    <col min="1" max="1" width="30" customWidth="1"/>
    <col min="2" max="2" width="10" customWidth="1"/>
    <col min="3" max="3" width="10" customWidth="1"/>
    <col min="4" max="4" width="26" customWidth="1"/>
    <col min="5" max="5" width="10" customWidth="1"/>
    <col min="6" max="6" width="11" customWidth="1"/>
    <col min="7" max="7" width="10" customWidth="1"/>
    <col min="8" max="8" width="10" customWidth="1"/>
    <col min="9" max="9" width="11" customWidth="1"/>
    <col min="10" max="10" width="12" customWidth="1"/>
    <col min="11" max="11" width="10" customWidth="1"/>
    <col min="12" max="12" width="15" customWidth="1"/>
    <col min="13" max="13" width="7" customWidth="1"/>
    <col min="14" max="14" width="16" customWidth="1"/>
    <col min="15" max="15" width="3" customWidth="1"/>
    <col min="16" max="16" width="24" customWidth="1"/>
    <col min="17" max="17" width="10" customWidth="1"/>
    <col min="18" max="18" width="10" customWidth="1"/>
    <col min="19" max="19" width="10" customWidth="1"/>
    <col min="20" max="20" width="10" customWidth="1"/>
    <col min="21" max="21" width="10" customWidth="1"/>
    <col min="22" max="22" width="10" customWidth="1"/>
    <col min="23" max="23" width="10" customWidth="1"/>
    <col min="24" max="24" width="10" customWidth="1"/>
    <col min="25" max="25" width="10" customWidth="1"/>
    <col min="26" max="26" width="10" customWidth="1"/>
    <col min="27" max="27" width="15" customWidth="1"/>
    <col min="28" max="28" width="10" customWidth="1"/>
    <col min="29" max="29" width="16" customWidth="1"/>
  </cols>
  <sheetData>
    <row r="1" ht="21" customHeight="1">
      <c r="A1" s="49" t="inlineStr">
        <is>
          <t xml:space="preserve">Supplier Scorecard</t>
        </is>
      </c>
    </row>
    <row r="2">
      <c r="A2" s="50" t="inlineStr">
        <is>
          <t xml:space="preserve">Simulated data. Scoring bands are based on published industry supplier scorecards (see sources below). Yellow cells are inputs.</t>
        </is>
      </c>
    </row>
    <row r="3">
      <c r="A3" s="93" t="inlineStr">
        <is>
          <t xml:space="preserve">Year</t>
        </is>
      </c>
      <c r="B3" s="94">
        <v>2024</v>
      </c>
    </row>
    <row r="4">
      <c r="D4" s="51" t="inlineStr">
        <is>
          <t xml:space="preserve">Scoring bands</t>
        </is>
      </c>
      <c r="E4" s="51" t="inlineStr">
        <is>
          <t xml:space="preserve">100 pts</t>
        </is>
      </c>
      <c r="F4" s="51" t="inlineStr">
        <is>
          <t xml:space="preserve">75 pts</t>
        </is>
      </c>
      <c r="G4" s="51" t="inlineStr">
        <is>
          <t xml:space="preserve">50 pts</t>
        </is>
      </c>
      <c r="H4" s="51" t="inlineStr">
        <is>
          <t xml:space="preserve">25 pts</t>
        </is>
      </c>
      <c r="I4" s="51" t="inlineStr">
        <is>
          <t xml:space="preserve">0 pts</t>
        </is>
      </c>
      <c r="J4" s="51" t="inlineStr">
        <is>
          <t xml:space="preserve">Basis</t>
        </is>
      </c>
    </row>
    <row r="5">
      <c r="A5" s="93" t="inlineStr">
        <is>
          <t xml:space="preserve">Weight: Delivery (OTIF)</t>
        </is>
      </c>
      <c r="B5" s="95">
        <v>0.35</v>
      </c>
      <c r="D5" s="93" t="inlineStr">
        <is>
          <t xml:space="preserve">OTIF % (at least)</t>
        </is>
      </c>
      <c r="E5" s="95">
        <v>0.95</v>
      </c>
      <c r="F5" s="95">
        <v>0.9</v>
      </c>
      <c r="G5" s="95">
        <v>0.85</v>
      </c>
      <c r="H5" s="95">
        <v>0.8</v>
      </c>
      <c r="I5" s="98" t="str">
        <f>"Below "&amp;TEXT(H5,"0%")</f>
        <v>Below 80%</v>
      </c>
      <c r="J5" s="93" t="inlineStr">
        <is>
          <t xml:space="preserve">Industry supplier scorecard (on time delivery bands)</t>
        </is>
      </c>
    </row>
    <row r="6">
      <c r="A6" s="93" t="inlineStr">
        <is>
          <t xml:space="preserve">Weight: Quality (PPM)</t>
        </is>
      </c>
      <c r="B6" s="95">
        <v>0.35</v>
      </c>
      <c r="D6" s="93" t="inlineStr">
        <is>
          <t xml:space="preserve">PPM (at most)</t>
        </is>
      </c>
      <c r="E6" s="96">
        <v>250</v>
      </c>
      <c r="F6" s="96">
        <v>500</v>
      </c>
      <c r="G6" s="96">
        <v>750</v>
      </c>
      <c r="H6" s="96">
        <v>999</v>
      </c>
      <c r="I6" s="98" t="str">
        <f>"Above "&amp;TEXT(H6,"#,##0")</f>
        <v>Above 999</v>
      </c>
      <c r="J6" s="93" t="inlineStr">
        <is>
          <t xml:space="preserve">Industry supplier scorecard (manufacturer PPM bands)</t>
        </is>
      </c>
    </row>
    <row r="7">
      <c r="A7" s="93" t="inlineStr">
        <is>
          <t xml:space="preserve">Weight: Cost (PPV %)</t>
        </is>
      </c>
      <c r="B7" s="95">
        <v>0.2</v>
      </c>
      <c r="D7" s="93" t="inlineStr">
        <is>
          <t xml:space="preserve">PPV % (at most)</t>
        </is>
      </c>
      <c r="E7" s="95">
        <v>0</v>
      </c>
      <c r="F7" s="95">
        <v>0.01</v>
      </c>
      <c r="G7" s="95">
        <v>0.02</v>
      </c>
      <c r="H7" s="95">
        <v>0.03</v>
      </c>
      <c r="I7" s="98" t="str">
        <f>"Above "&amp;TEXT(H7,"0%")</f>
        <v>Above 3%</v>
      </c>
      <c r="J7" s="93" t="inlineStr">
        <is>
          <t xml:space="preserve">Halvorn assumption (no public standard)</t>
        </is>
      </c>
    </row>
    <row r="8">
      <c r="A8" s="93" t="inlineStr">
        <is>
          <t xml:space="preserve">Weight: Lead time reliability</t>
        </is>
      </c>
      <c r="B8" s="95">
        <v>0.1</v>
      </c>
      <c r="D8" s="93" t="inlineStr">
        <is>
          <t xml:space="preserve">Lead time CV (at most)</t>
        </is>
      </c>
      <c r="E8" s="95">
        <v>0.1</v>
      </c>
      <c r="F8" s="95">
        <v>0.2</v>
      </c>
      <c r="G8" s="95">
        <v>0.3</v>
      </c>
      <c r="H8" s="95">
        <v>0.4</v>
      </c>
      <c r="I8" s="98" t="str">
        <f>"Above "&amp;TEXT(H8,"0%")</f>
        <v>Above 40%</v>
      </c>
      <c r="J8" s="93" t="inlineStr">
        <is>
          <t xml:space="preserve">Halvorn assumption (no public standard)</t>
        </is>
      </c>
    </row>
    <row r="9">
      <c r="A9" s="93" t="inlineStr">
        <is>
          <t xml:space="preserve">Total weight (must be 100%)</t>
        </is>
      </c>
      <c r="B9" s="97">
        <f>SUM(B5:B8)</f>
        <v>0.9999999999999999</v>
      </c>
      <c r="D9" s="93" t="inlineStr">
        <is>
          <t xml:space="preserve">Grade cutoffs (A, B, C at least)</t>
        </is>
      </c>
      <c r="E9" s="94">
        <v>89</v>
      </c>
      <c r="F9" s="94">
        <v>79</v>
      </c>
      <c r="G9" s="94">
        <v>69</v>
      </c>
      <c r="H9" s="98" t="inlineStr">
        <is>
          <t xml:space="preserve">D below C</t>
        </is>
      </c>
      <c r="I9" s="98" t="inlineStr">
        <is>
          <t xml:space="preserve"/>
        </is>
      </c>
      <c r="J9" s="93" t="inlineStr">
        <is>
          <t xml:space="preserve">Industry supplier scorecard (rating bands)</t>
        </is>
      </c>
    </row>
    <row r="10">
      <c r="A10" s="93" t="inlineStr">
        <is>
          <t xml:space="preserve">Minimum POs to grade</t>
        </is>
      </c>
      <c r="B10" s="94">
        <v>5</v>
      </c>
      <c r="D10" s="93" t="inlineStr">
        <is>
          <t xml:space="preserve">Corrective action above PPM</t>
        </is>
      </c>
      <c r="E10" s="96">
        <v>1000</v>
      </c>
      <c r="F10" s="98" t="inlineStr">
        <is>
          <t xml:space="preserve"/>
        </is>
      </c>
      <c r="G10" s="98" t="inlineStr">
        <is>
          <t xml:space="preserve"/>
        </is>
      </c>
      <c r="H10" s="98" t="inlineStr">
        <is>
          <t xml:space="preserve"/>
        </is>
      </c>
      <c r="I10" s="98" t="inlineStr">
        <is>
          <t xml:space="preserve"/>
        </is>
      </c>
      <c r="J10" s="93" t="inlineStr">
        <is>
          <t xml:space="preserve">Procurement guidance: above 1,000 PPM needs immediate action</t>
        </is>
      </c>
    </row>
    <row r="12">
      <c r="A12" s="50" t="inlineStr">
        <is>
          <t xml:space="preserve">Sources: Stanley Black &amp; Decker Healthcare supplier performance scorecard (OTD bands 95/90/85/80%, PPM bands 250/500/750/1,000, rating bands 89/79/69); Tacto procurement glossary (1,000 PPM action limit); Intel supplier awards use 80% and 95% score thresholds.</t>
        </is>
      </c>
    </row>
    <row r="13">
      <c r="P13" s="50" t="inlineStr">
        <is>
          <t xml:space="preserve">Ranked view (graded suppliers, best first)</t>
        </is>
      </c>
    </row>
    <row r="14" ht="30" customHeight="1">
      <c r="A14" s="51" t="inlineStr">
        <is>
          <t xml:space="preserve">Supplier</t>
        </is>
      </c>
      <c r="B14" s="51" t="inlineStr">
        <is>
          <t xml:space="preserve">POs</t>
        </is>
      </c>
      <c r="C14" s="51" t="inlineStr">
        <is>
          <t xml:space="preserve">OTIF %</t>
        </is>
      </c>
      <c r="D14" s="51" t="inlineStr">
        <is>
          <t xml:space="preserve">PPM</t>
        </is>
      </c>
      <c r="E14" s="51" t="inlineStr">
        <is>
          <t xml:space="preserve">PPV %</t>
        </is>
      </c>
      <c r="F14" s="51" t="inlineStr">
        <is>
          <t xml:space="preserve">Lead time CV</t>
        </is>
      </c>
      <c r="G14" s="51" t="inlineStr">
        <is>
          <t xml:space="preserve">Delivery pts</t>
        </is>
      </c>
      <c r="H14" s="51" t="inlineStr">
        <is>
          <t xml:space="preserve">Quality pts</t>
        </is>
      </c>
      <c r="I14" s="51" t="inlineStr">
        <is>
          <t xml:space="preserve">Cost pts</t>
        </is>
      </c>
      <c r="J14" s="51" t="inlineStr">
        <is>
          <t xml:space="preserve">Lead time pts</t>
        </is>
      </c>
      <c r="K14" s="51" t="inlineStr">
        <is>
          <t xml:space="preserve">Overall score</t>
        </is>
      </c>
      <c r="L14" s="51" t="inlineStr">
        <is>
          <t xml:space="preserve">Grade</t>
        </is>
      </c>
      <c r="M14" s="51" t="inlineStr">
        <is>
          <t xml:space="preserve">Rank</t>
        </is>
      </c>
      <c r="N14" s="51" t="inlineStr">
        <is>
          <t xml:space="preserve">Action flag</t>
        </is>
      </c>
      <c r="P14" s="51" t="inlineStr">
        <is>
          <t xml:space="preserve">Supplier</t>
        </is>
      </c>
      <c r="Q14" s="51" t="inlineStr">
        <is>
          <t xml:space="preserve">POs</t>
        </is>
      </c>
      <c r="R14" s="51" t="inlineStr">
        <is>
          <t xml:space="preserve">OTIF %</t>
        </is>
      </c>
      <c r="S14" s="51" t="inlineStr">
        <is>
          <t xml:space="preserve">PPM</t>
        </is>
      </c>
      <c r="T14" s="51" t="inlineStr">
        <is>
          <t xml:space="preserve">PPV %</t>
        </is>
      </c>
      <c r="U14" s="51" t="inlineStr">
        <is>
          <t xml:space="preserve">Lead time CV</t>
        </is>
      </c>
      <c r="V14" s="51" t="inlineStr">
        <is>
          <t xml:space="preserve">Delivery pts</t>
        </is>
      </c>
      <c r="W14" s="51" t="inlineStr">
        <is>
          <t xml:space="preserve">Quality pts</t>
        </is>
      </c>
      <c r="X14" s="51" t="inlineStr">
        <is>
          <t xml:space="preserve">Cost pts</t>
        </is>
      </c>
      <c r="Y14" s="51" t="inlineStr">
        <is>
          <t xml:space="preserve">Lead time pts</t>
        </is>
      </c>
      <c r="Z14" s="51" t="inlineStr">
        <is>
          <t xml:space="preserve">Overall score</t>
        </is>
      </c>
      <c r="AA14" s="51" t="inlineStr">
        <is>
          <t xml:space="preserve">Grade</t>
        </is>
      </c>
      <c r="AB14" s="51" t="inlineStr">
        <is>
          <t xml:space="preserve">Rank</t>
        </is>
      </c>
      <c r="AC14" s="51" t="inlineStr">
        <is>
          <t xml:space="preserve">Action flag</t>
        </is>
      </c>
    </row>
    <row r="15">
      <c r="A15" s="93" t="inlineStr">
        <is>
          <t xml:space="preserve">Boise Pack Solutions</t>
        </is>
      </c>
      <c r="B15" s="99">
        <f>COUNTIFS(PO_Data[supplier_name],$A15,PO_Data[Order_Year],$B$3)</f>
        <v>10.0</v>
      </c>
      <c r="C15" s="100">
        <f>IFERROR(AVERAGEIFS(PO_Data[OTIF],PO_Data[supplier_name],$A15,PO_Data[Order_Year],$B$3),"")</f>
        <v>1.0</v>
      </c>
      <c r="D15" s="101">
        <f>IFERROR(SUMIFS(Receiving_Data[qty_rejected],Receiving_Data[supplier_name],$A15,Receiving_Data[Receipt_Year],$B$3)/SUMIFS(Receiving_Data[qty_received],Receiving_Data[supplier_name],$A15,Receiving_Data[Receipt_Year],$B$3)*1000000,"")</f>
        <v>346.9475275161495</v>
      </c>
      <c r="E15" s="100">
        <f>IFERROR(SUMIFS(PO_Data[PPV_USD],PO_Data[supplier_name],$A15,PO_Data[Order_Year],$B$3)/SUMIFS(PO_Data[Std_Value_USD],PO_Data[supplier_name],$A15,PO_Data[Order_Year],$B$3),"")</f>
        <v>0.009073339155818604</v>
      </c>
      <c r="F15" s="100" cm="1">
        <f t="array" ref="F15">IFERROR(_xlfn.STDEV.S(_xlfn._xlws.FILTER(PO_Data[Lead_Time_Days],(PO_Data[supplier_name]=$A15)*(PO_Data[Order_Year]=$B$3)))/AVERAGEIFS(PO_Data[Lead_Time_Days],PO_Data[supplier_name],$A15,PO_Data[Order_Year],$B$3),"")</f>
        <v>0.09426843973401672</v>
      </c>
      <c r="G15" s="99">
        <f>IF(C15="","",IF(C15&gt;=$E$5,100,IF(C15&gt;=$F$5,75,IF(C15&gt;=$G$5,50,IF(C15&gt;=$H$5,25,0)))))</f>
        <v>100.0</v>
      </c>
      <c r="H15" s="99">
        <f>IF(D15="","",IF(D15&lt;=$E$6,100,IF(D15&lt;=$F$6,75,IF(D15&lt;=$G$6,50,IF(D15&lt;=$H$6,25,0)))))</f>
        <v>75.0</v>
      </c>
      <c r="I15" s="99">
        <f>IF(E15="","",IF(E15&lt;=$E$7,100,IF(E15&lt;=$F$7,75,IF(E15&lt;=$G$7,50,IF(E15&lt;=$H$7,25,0)))))</f>
        <v>75.0</v>
      </c>
      <c r="J15" s="99">
        <f>IF(F15="","",IF(F15&lt;=$E$8,100,IF(F15&lt;=$F$8,75,IF(F15&lt;=$G$8,50,IF(F15&lt;=$H$8,25,0)))))</f>
        <v>100.0</v>
      </c>
      <c r="K15" s="102">
        <f>IFERROR((G15*$B$5+H15*$B$6+I15*$B$7+J15*$B$8)/SUM($B$5:$B$8),"")</f>
        <v>86.25000000000001</v>
      </c>
      <c r="L15" s="103" t="str">
        <f>IF(OR(B15&lt;$B$10,K15=""),"Not enough data",IF(K15&gt;=$E$9,"A",IF(K15&gt;=$F$9,"B",IF(K15&gt;=$G$9,"C","D"))))</f>
        <v>B</v>
      </c>
      <c r="M15" s="99">
        <f>IF(OR(L15="Not enough data",K15=""),"",COUNTIFS($K$15:$K$33,"&gt;"&amp;K15,$B$15:$B$33,"&gt;="&amp;$B$10)+1)</f>
        <v>2.0</v>
      </c>
      <c r="N15" s="98" t="str">
        <f>IF(AND(ISNUMBER(D15),D15&gt;$E$10),"Corrective action","")</f>
        <v/>
      </c>
      <c r="P15" s="93" t="str" cm="1">
        <f t="array" ref="P15:AC31">_xlfn.SORTBY(_xlfn._xlws.FILTER(A15:N33,M15:M33&lt;&gt;""),_xlfn._xlws.FILTER(M15:M33,M15:M33&lt;&gt;""),1)</f>
        <v>Sakura Targets</v>
      </c>
      <c r="Q15" s="99">
        <v>9.0</v>
      </c>
      <c r="R15" s="100">
        <v>1.0</v>
      </c>
      <c r="S15" s="101">
        <v>0.0</v>
      </c>
      <c r="T15" s="100">
        <v>0.017525992989484204</v>
      </c>
      <c r="U15" s="100">
        <v>0.014993979433114962</v>
      </c>
      <c r="V15" s="99">
        <v>100.0</v>
      </c>
      <c r="W15" s="99">
        <v>100.0</v>
      </c>
      <c r="X15" s="99">
        <v>50.0</v>
      </c>
      <c r="Y15" s="99">
        <v>100.0</v>
      </c>
      <c r="Z15" s="102">
        <v>90.00000000000001</v>
      </c>
      <c r="AA15" s="103" t="str">
        <v>A</v>
      </c>
      <c r="AB15" s="99">
        <v>1.0</v>
      </c>
      <c r="AC15" s="98" t="str">
        <v/>
      </c>
    </row>
    <row r="16">
      <c r="A16" s="93" t="inlineStr">
        <is>
          <t xml:space="preserve">Cascade Planarization</t>
        </is>
      </c>
      <c r="B16" s="99">
        <f>COUNTIFS(PO_Data[supplier_name],$A16,PO_Data[Order_Year],$B$3)</f>
        <v>18.0</v>
      </c>
      <c r="C16" s="100">
        <f>IFERROR(AVERAGEIFS(PO_Data[OTIF],PO_Data[supplier_name],$A16,PO_Data[Order_Year],$B$3),"")</f>
        <v>0.8888888888888888</v>
      </c>
      <c r="D16" s="101">
        <f>IFERROR(SUMIFS(Receiving_Data[qty_rejected],Receiving_Data[supplier_name],$A16,Receiving_Data[Receipt_Year],$B$3)/SUMIFS(Receiving_Data[qty_received],Receiving_Data[supplier_name],$A16,Receiving_Data[Receipt_Year],$B$3)*1000000,"")</f>
        <v>2568.4496568305676</v>
      </c>
      <c r="E16" s="100">
        <f>IFERROR(SUMIFS(PO_Data[PPV_USD],PO_Data[supplier_name],$A16,PO_Data[Order_Year],$B$3)/SUMIFS(PO_Data[Std_Value_USD],PO_Data[supplier_name],$A16,PO_Data[Order_Year],$B$3),"")</f>
        <v>0.011934838699577932</v>
      </c>
      <c r="F16" s="100" cm="1">
        <f t="array" ref="F16">IFERROR(_xlfn.STDEV.S(_xlfn._xlws.FILTER(PO_Data[Lead_Time_Days],(PO_Data[supplier_name]=$A16)*(PO_Data[Order_Year]=$B$3)))/AVERAGEIFS(PO_Data[Lead_Time_Days],PO_Data[supplier_name],$A16,PO_Data[Order_Year],$B$3),"")</f>
        <v>0.08153017529245997</v>
      </c>
      <c r="G16" s="99">
        <f>IF(C16="","",IF(C16&gt;=$E$5,100,IF(C16&gt;=$F$5,75,IF(C16&gt;=$G$5,50,IF(C16&gt;=$H$5,25,0)))))</f>
        <v>50.0</v>
      </c>
      <c r="H16" s="99">
        <f>IF(D16="","",IF(D16&lt;=$E$6,100,IF(D16&lt;=$F$6,75,IF(D16&lt;=$G$6,50,IF(D16&lt;=$H$6,25,0)))))</f>
        <v>0.0</v>
      </c>
      <c r="I16" s="99">
        <f>IF(E16="","",IF(E16&lt;=$E$7,100,IF(E16&lt;=$F$7,75,IF(E16&lt;=$G$7,50,IF(E16&lt;=$H$7,25,0)))))</f>
        <v>50.0</v>
      </c>
      <c r="J16" s="99">
        <f>IF(F16="","",IF(F16&lt;=$E$8,100,IF(F16&lt;=$F$8,75,IF(F16&lt;=$G$8,50,IF(F16&lt;=$H$8,25,0)))))</f>
        <v>100.0</v>
      </c>
      <c r="K16" s="102">
        <f>IFERROR((G16*$B$5+H16*$B$6+I16*$B$7+J16*$B$8)/SUM($B$5:$B$8),"")</f>
        <v>37.50000000000001</v>
      </c>
      <c r="L16" s="103" t="str">
        <f>IF(OR(B16&lt;$B$10,K16=""),"Not enough data",IF(K16&gt;=$E$9,"A",IF(K16&gt;=$F$9,"B",IF(K16&gt;=$G$9,"C","D"))))</f>
        <v>D</v>
      </c>
      <c r="M16" s="99">
        <f>IF(OR(L16="Not enough data",K16=""),"",COUNTIFS($K$15:$K$33,"&gt;"&amp;K16,$B$15:$B$33,"&gt;="&amp;$B$10)+1)</f>
        <v>10.0</v>
      </c>
      <c r="N16" s="98" t="str">
        <f>IF(AND(ISNUMBER(D16),D16&gt;$E$10),"Corrective action","")</f>
        <v>Corrective action</v>
      </c>
      <c r="P16" s="93" t="str">
        <v>Boise Pack Solutions</v>
      </c>
      <c r="Q16" s="99">
        <v>10.0</v>
      </c>
      <c r="R16" s="100">
        <v>1.0</v>
      </c>
      <c r="S16" s="101">
        <v>346.9475275161495</v>
      </c>
      <c r="T16" s="100">
        <v>0.009073339155818604</v>
      </c>
      <c r="U16" s="100">
        <v>0.09426843973401672</v>
      </c>
      <c r="V16" s="99">
        <v>100.0</v>
      </c>
      <c r="W16" s="99">
        <v>75.0</v>
      </c>
      <c r="X16" s="99">
        <v>75.0</v>
      </c>
      <c r="Y16" s="99">
        <v>100.0</v>
      </c>
      <c r="Z16" s="102">
        <v>86.25000000000001</v>
      </c>
      <c r="AA16" s="103" t="str">
        <v>B</v>
      </c>
      <c r="AB16" s="99">
        <v>2.0</v>
      </c>
      <c r="AC16" s="98" t="str">
        <v/>
      </c>
    </row>
    <row r="17">
      <c r="A17" s="93" t="inlineStr">
        <is>
          <t xml:space="preserve">Danube Rare Gases</t>
        </is>
      </c>
      <c r="B17" s="99">
        <f>COUNTIFS(PO_Data[supplier_name],$A17,PO_Data[Order_Year],$B$3)</f>
        <v>10.0</v>
      </c>
      <c r="C17" s="100">
        <f>IFERROR(AVERAGEIFS(PO_Data[OTIF],PO_Data[supplier_name],$A17,PO_Data[Order_Year],$B$3),"")</f>
        <v>0.8</v>
      </c>
      <c r="D17" s="101">
        <f>IFERROR(SUMIFS(Receiving_Data[qty_rejected],Receiving_Data[supplier_name],$A17,Receiving_Data[Receipt_Year],$B$3)/SUMIFS(Receiving_Data[qty_received],Receiving_Data[supplier_name],$A17,Receiving_Data[Receipt_Year],$B$3)*1000000,"")</f>
        <v>6389.931910561608</v>
      </c>
      <c r="E17" s="100">
        <f>IFERROR(SUMIFS(PO_Data[PPV_USD],PO_Data[supplier_name],$A17,PO_Data[Order_Year],$B$3)/SUMIFS(PO_Data[Std_Value_USD],PO_Data[supplier_name],$A17,PO_Data[Order_Year],$B$3),"")</f>
        <v>0.025257189815162236</v>
      </c>
      <c r="F17" s="100" cm="1">
        <f t="array" ref="F17">IFERROR(_xlfn.STDEV.S(_xlfn._xlws.FILTER(PO_Data[Lead_Time_Days],(PO_Data[supplier_name]=$A17)*(PO_Data[Order_Year]=$B$3)))/AVERAGEIFS(PO_Data[Lead_Time_Days],PO_Data[supplier_name],$A17,PO_Data[Order_Year],$B$3),"")</f>
        <v>0.2851680039640909</v>
      </c>
      <c r="G17" s="99">
        <f>IF(C17="","",IF(C17&gt;=$E$5,100,IF(C17&gt;=$F$5,75,IF(C17&gt;=$G$5,50,IF(C17&gt;=$H$5,25,0)))))</f>
        <v>25.0</v>
      </c>
      <c r="H17" s="99">
        <f>IF(D17="","",IF(D17&lt;=$E$6,100,IF(D17&lt;=$F$6,75,IF(D17&lt;=$G$6,50,IF(D17&lt;=$H$6,25,0)))))</f>
        <v>0.0</v>
      </c>
      <c r="I17" s="99">
        <f>IF(E17="","",IF(E17&lt;=$E$7,100,IF(E17&lt;=$F$7,75,IF(E17&lt;=$G$7,50,IF(E17&lt;=$H$7,25,0)))))</f>
        <v>25.0</v>
      </c>
      <c r="J17" s="99">
        <f>IF(F17="","",IF(F17&lt;=$E$8,100,IF(F17&lt;=$F$8,75,IF(F17&lt;=$G$8,50,IF(F17&lt;=$H$8,25,0)))))</f>
        <v>50.0</v>
      </c>
      <c r="K17" s="102">
        <f>IFERROR((G17*$B$5+H17*$B$6+I17*$B$7+J17*$B$8)/SUM($B$5:$B$8),"")</f>
        <v>18.750000000000004</v>
      </c>
      <c r="L17" s="103" t="str">
        <f>IF(OR(B17&lt;$B$10,K17=""),"Not enough data",IF(K17&gt;=$E$9,"A",IF(K17&gt;=$F$9,"B",IF(K17&gt;=$G$9,"C","D"))))</f>
        <v>D</v>
      </c>
      <c r="M17" s="99">
        <f>IF(OR(L17="Not enough data",K17=""),"",COUNTIFS($K$15:$K$33,"&gt;"&amp;K17,$B$15:$B$33,"&gt;="&amp;$B$10)+1)</f>
        <v>15.0</v>
      </c>
      <c r="N17" s="98" t="str">
        <f>IF(AND(ISNUMBER(D17),D17&gt;$E$10),"Corrective action","")</f>
        <v>Corrective action</v>
      </c>
      <c r="P17" s="93" t="str">
        <v>Pacific Electrochem</v>
      </c>
      <c r="Q17" s="99">
        <v>10.0</v>
      </c>
      <c r="R17" s="100">
        <v>0.9</v>
      </c>
      <c r="S17" s="101">
        <v>440.5482218247937</v>
      </c>
      <c r="T17" s="100">
        <v>0.013891390356025969</v>
      </c>
      <c r="U17" s="100">
        <v>0.11236519604659216</v>
      </c>
      <c r="V17" s="99">
        <v>75.0</v>
      </c>
      <c r="W17" s="99">
        <v>75.0</v>
      </c>
      <c r="X17" s="99">
        <v>50.0</v>
      </c>
      <c r="Y17" s="99">
        <v>75.0</v>
      </c>
      <c r="Z17" s="102">
        <v>70.00000000000001</v>
      </c>
      <c r="AA17" s="103" t="str">
        <v>C</v>
      </c>
      <c r="AB17" s="99">
        <v>3.0</v>
      </c>
      <c r="AC17" s="98" t="str">
        <v/>
      </c>
    </row>
    <row r="18">
      <c r="A18" s="93" t="inlineStr">
        <is>
          <t xml:space="preserve">Elbe Precursor GmbH</t>
        </is>
      </c>
      <c r="B18" s="99">
        <f>COUNTIFS(PO_Data[supplier_name],$A18,PO_Data[Order_Year],$B$3)</f>
        <v>9.0</v>
      </c>
      <c r="C18" s="100">
        <f>IFERROR(AVERAGEIFS(PO_Data[OTIF],PO_Data[supplier_name],$A18,PO_Data[Order_Year],$B$3),"")</f>
        <v>0.8888888888888888</v>
      </c>
      <c r="D18" s="101">
        <f>IFERROR(SUMIFS(Receiving_Data[qty_rejected],Receiving_Data[supplier_name],$A18,Receiving_Data[Receipt_Year],$B$3)/SUMIFS(Receiving_Data[qty_received],Receiving_Data[supplier_name],$A18,Receiving_Data[Receipt_Year],$B$3)*1000000,"")</f>
        <v>1359.835466673883</v>
      </c>
      <c r="E18" s="100">
        <f>IFERROR(SUMIFS(PO_Data[PPV_USD],PO_Data[supplier_name],$A18,PO_Data[Order_Year],$B$3)/SUMIFS(PO_Data[Std_Value_USD],PO_Data[supplier_name],$A18,PO_Data[Order_Year],$B$3),"")</f>
        <v>0.00546975100142162</v>
      </c>
      <c r="F18" s="100" cm="1">
        <f t="array" ref="F18">IFERROR(_xlfn.STDEV.S(_xlfn._xlws.FILTER(PO_Data[Lead_Time_Days],(PO_Data[supplier_name]=$A18)*(PO_Data[Order_Year]=$B$3)))/AVERAGEIFS(PO_Data[Lead_Time_Days],PO_Data[supplier_name],$A18,PO_Data[Order_Year],$B$3),"")</f>
        <v>0.04629100498862757</v>
      </c>
      <c r="G18" s="99">
        <f>IF(C18="","",IF(C18&gt;=$E$5,100,IF(C18&gt;=$F$5,75,IF(C18&gt;=$G$5,50,IF(C18&gt;=$H$5,25,0)))))</f>
        <v>50.0</v>
      </c>
      <c r="H18" s="99">
        <f>IF(D18="","",IF(D18&lt;=$E$6,100,IF(D18&lt;=$F$6,75,IF(D18&lt;=$G$6,50,IF(D18&lt;=$H$6,25,0)))))</f>
        <v>0.0</v>
      </c>
      <c r="I18" s="99">
        <f>IF(E18="","",IF(E18&lt;=$E$7,100,IF(E18&lt;=$F$7,75,IF(E18&lt;=$G$7,50,IF(E18&lt;=$H$7,25,0)))))</f>
        <v>75.0</v>
      </c>
      <c r="J18" s="99">
        <f>IF(F18="","",IF(F18&lt;=$E$8,100,IF(F18&lt;=$F$8,75,IF(F18&lt;=$G$8,50,IF(F18&lt;=$H$8,25,0)))))</f>
        <v>100.0</v>
      </c>
      <c r="K18" s="102">
        <f>IFERROR((G18*$B$5+H18*$B$6+I18*$B$7+J18*$B$8)/SUM($B$5:$B$8),"")</f>
        <v>42.50000000000001</v>
      </c>
      <c r="L18" s="103" t="str">
        <f>IF(OR(B18&lt;$B$10,K18=""),"Not enough data",IF(K18&gt;=$E$9,"A",IF(K18&gt;=$F$9,"B",IF(K18&gt;=$G$9,"C","D"))))</f>
        <v>D</v>
      </c>
      <c r="M18" s="99">
        <f>IF(OR(L18="Not enough data",K18=""),"",COUNTIFS($K$15:$K$33,"&gt;"&amp;K18,$B$15:$B$33,"&gt;="&amp;$B$10)+1)</f>
        <v>9.0</v>
      </c>
      <c r="N18" s="98" t="str">
        <f>IF(AND(ISNUMBER(D18),D18&gt;$E$10),"Corrective action","")</f>
        <v>Corrective action</v>
      </c>
      <c r="P18" s="93" t="str">
        <v>Kyushu Underfill</v>
      </c>
      <c r="Q18" s="99">
        <v>10.0</v>
      </c>
      <c r="R18" s="100">
        <v>0.8</v>
      </c>
      <c r="S18" s="101">
        <v>220.7531759808962</v>
      </c>
      <c r="T18" s="100">
        <v>0.0048712819429527834</v>
      </c>
      <c r="U18" s="100">
        <v>0.06981562218116041</v>
      </c>
      <c r="V18" s="99">
        <v>25.0</v>
      </c>
      <c r="W18" s="99">
        <v>100.0</v>
      </c>
      <c r="X18" s="99">
        <v>75.0</v>
      </c>
      <c r="Y18" s="99">
        <v>100.0</v>
      </c>
      <c r="Z18" s="102">
        <v>68.75000000000001</v>
      </c>
      <c r="AA18" s="103" t="str">
        <v>D</v>
      </c>
      <c r="AB18" s="99">
        <v>4.0</v>
      </c>
      <c r="AC18" s="98" t="str">
        <v/>
      </c>
    </row>
    <row r="19">
      <c r="A19" s="93" t="inlineStr">
        <is>
          <t xml:space="preserve">Formosa Wafer Corp</t>
        </is>
      </c>
      <c r="B19" s="99">
        <f>COUNTIFS(PO_Data[supplier_name],$A19,PO_Data[Order_Year],$B$3)</f>
        <v>5.0</v>
      </c>
      <c r="C19" s="100">
        <f>IFERROR(AVERAGEIFS(PO_Data[OTIF],PO_Data[supplier_name],$A19,PO_Data[Order_Year],$B$3),"")</f>
        <v>0.6</v>
      </c>
      <c r="D19" s="101">
        <f>IFERROR(SUMIFS(Receiving_Data[qty_rejected],Receiving_Data[supplier_name],$A19,Receiving_Data[Receipt_Year],$B$3)/SUMIFS(Receiving_Data[qty_received],Receiving_Data[supplier_name],$A19,Receiving_Data[Receipt_Year],$B$3)*1000000,"")</f>
        <v>815.5178470823874</v>
      </c>
      <c r="E19" s="100">
        <f>IFERROR(SUMIFS(PO_Data[PPV_USD],PO_Data[supplier_name],$A19,PO_Data[Order_Year],$B$3)/SUMIFS(PO_Data[Std_Value_USD],PO_Data[supplier_name],$A19,PO_Data[Order_Year],$B$3),"")</f>
        <v>-0.012300985680569755</v>
      </c>
      <c r="F19" s="100" cm="1">
        <f t="array" ref="F19">IFERROR(_xlfn.STDEV.S(_xlfn._xlws.FILTER(PO_Data[Lead_Time_Days],(PO_Data[supplier_name]=$A19)*(PO_Data[Order_Year]=$B$3)))/AVERAGEIFS(PO_Data[Lead_Time_Days],PO_Data[supplier_name],$A19,PO_Data[Order_Year],$B$3),"")</f>
        <v>0.10517697166432297</v>
      </c>
      <c r="G19" s="99">
        <f>IF(C19="","",IF(C19&gt;=$E$5,100,IF(C19&gt;=$F$5,75,IF(C19&gt;=$G$5,50,IF(C19&gt;=$H$5,25,0)))))</f>
        <v>0.0</v>
      </c>
      <c r="H19" s="99">
        <f>IF(D19="","",IF(D19&lt;=$E$6,100,IF(D19&lt;=$F$6,75,IF(D19&lt;=$G$6,50,IF(D19&lt;=$H$6,25,0)))))</f>
        <v>25.0</v>
      </c>
      <c r="I19" s="99">
        <f>IF(E19="","",IF(E19&lt;=$E$7,100,IF(E19&lt;=$F$7,75,IF(E19&lt;=$G$7,50,IF(E19&lt;=$H$7,25,0)))))</f>
        <v>100.0</v>
      </c>
      <c r="J19" s="99">
        <f>IF(F19="","",IF(F19&lt;=$E$8,100,IF(F19&lt;=$F$8,75,IF(F19&lt;=$G$8,50,IF(F19&lt;=$H$8,25,0)))))</f>
        <v>75.0</v>
      </c>
      <c r="K19" s="102">
        <f>IFERROR((G19*$B$5+H19*$B$6+I19*$B$7+J19*$B$8)/SUM($B$5:$B$8),"")</f>
        <v>36.25000000000001</v>
      </c>
      <c r="L19" s="103" t="str">
        <f>IF(OR(B19&lt;$B$10,K19=""),"Not enough data",IF(K19&gt;=$E$9,"A",IF(K19&gt;=$F$9,"B",IF(K19&gt;=$G$9,"C","D"))))</f>
        <v>D</v>
      </c>
      <c r="M19" s="99">
        <f>IF(OR(L19="Not enough data",K19=""),"",COUNTIFS($K$15:$K$33,"&gt;"&amp;K19,$B$15:$B$33,"&gt;="&amp;$B$10)+1)</f>
        <v>11.0</v>
      </c>
      <c r="N19" s="98" t="str">
        <f>IF(AND(ISNUMBER(D19),D19&gt;$E$10),"Corrective action","")</f>
        <v/>
      </c>
      <c r="P19" s="93" t="str">
        <v>Lone Star Gas Supply</v>
      </c>
      <c r="Q19" s="99">
        <v>11.0</v>
      </c>
      <c r="R19" s="100">
        <v>0.8181818181818182</v>
      </c>
      <c r="S19" s="101">
        <v>201.70912077398515</v>
      </c>
      <c r="T19" s="100">
        <v>0.007193524752944537</v>
      </c>
      <c r="U19" s="100">
        <v>0.1957375052619996</v>
      </c>
      <c r="V19" s="99">
        <v>25.0</v>
      </c>
      <c r="W19" s="99">
        <v>100.0</v>
      </c>
      <c r="X19" s="99">
        <v>75.0</v>
      </c>
      <c r="Y19" s="99">
        <v>75.0</v>
      </c>
      <c r="Z19" s="102">
        <v>66.25000000000001</v>
      </c>
      <c r="AA19" s="103" t="str">
        <v>D</v>
      </c>
      <c r="AB19" s="99">
        <v>5.0</v>
      </c>
      <c r="AC19" s="98" t="str">
        <v/>
      </c>
    </row>
    <row r="20">
      <c r="A20" s="93" t="inlineStr">
        <is>
          <t xml:space="preserve">Hanbit Industrial Gas</t>
        </is>
      </c>
      <c r="B20" s="99">
        <f>COUNTIFS(PO_Data[supplier_name],$A20,PO_Data[Order_Year],$B$3)</f>
        <v>16.0</v>
      </c>
      <c r="C20" s="100">
        <f>IFERROR(AVERAGEIFS(PO_Data[OTIF],PO_Data[supplier_name],$A20,PO_Data[Order_Year],$B$3),"")</f>
        <v>0.75</v>
      </c>
      <c r="D20" s="101">
        <f>IFERROR(SUMIFS(Receiving_Data[qty_rejected],Receiving_Data[supplier_name],$A20,Receiving_Data[Receipt_Year],$B$3)/SUMIFS(Receiving_Data[qty_received],Receiving_Data[supplier_name],$A20,Receiving_Data[Receipt_Year],$B$3)*1000000,"")</f>
        <v>674.3934256823251</v>
      </c>
      <c r="E20" s="100">
        <f>IFERROR(SUMIFS(PO_Data[PPV_USD],PO_Data[supplier_name],$A20,PO_Data[Order_Year],$B$3)/SUMIFS(PO_Data[Std_Value_USD],PO_Data[supplier_name],$A20,PO_Data[Order_Year],$B$3),"")</f>
        <v>0.02211200202931647</v>
      </c>
      <c r="F20" s="100" cm="1">
        <f t="array" ref="F20">IFERROR(_xlfn.STDEV.S(_xlfn._xlws.FILTER(PO_Data[Lead_Time_Days],(PO_Data[supplier_name]=$A20)*(PO_Data[Order_Year]=$B$3)))/AVERAGEIFS(PO_Data[Lead_Time_Days],PO_Data[supplier_name],$A20,PO_Data[Order_Year],$B$3),"")</f>
        <v>0.16776502301862142</v>
      </c>
      <c r="G20" s="99">
        <f>IF(C20="","",IF(C20&gt;=$E$5,100,IF(C20&gt;=$F$5,75,IF(C20&gt;=$G$5,50,IF(C20&gt;=$H$5,25,0)))))</f>
        <v>0.0</v>
      </c>
      <c r="H20" s="99">
        <f>IF(D20="","",IF(D20&lt;=$E$6,100,IF(D20&lt;=$F$6,75,IF(D20&lt;=$G$6,50,IF(D20&lt;=$H$6,25,0)))))</f>
        <v>50.0</v>
      </c>
      <c r="I20" s="99">
        <f>IF(E20="","",IF(E20&lt;=$E$7,100,IF(E20&lt;=$F$7,75,IF(E20&lt;=$G$7,50,IF(E20&lt;=$H$7,25,0)))))</f>
        <v>25.0</v>
      </c>
      <c r="J20" s="99">
        <f>IF(F20="","",IF(F20&lt;=$E$8,100,IF(F20&lt;=$F$8,75,IF(F20&lt;=$G$8,50,IF(F20&lt;=$H$8,25,0)))))</f>
        <v>75.0</v>
      </c>
      <c r="K20" s="102">
        <f>IFERROR((G20*$B$5+H20*$B$6+I20*$B$7+J20*$B$8)/SUM($B$5:$B$8),"")</f>
        <v>30.000000000000004</v>
      </c>
      <c r="L20" s="103" t="str">
        <f>IF(OR(B20&lt;$B$10,K20=""),"Not enough data",IF(K20&gt;=$E$9,"A",IF(K20&gt;=$F$9,"B",IF(K20&gt;=$G$9,"C","D"))))</f>
        <v>D</v>
      </c>
      <c r="M20" s="99">
        <f>IF(OR(L20="Not enough data",K20=""),"",COUNTIFS($K$15:$K$33,"&gt;"&amp;K20,$B$15:$B$33,"&gt;="&amp;$B$10)+1)</f>
        <v>12.0</v>
      </c>
      <c r="N20" s="98" t="str">
        <f>IF(AND(ISNUMBER(D20),D20&gt;$E$10),"Corrective action","")</f>
        <v/>
      </c>
      <c r="P20" s="93" t="str">
        <v>Veldhoven Litho Service</v>
      </c>
      <c r="Q20" s="99">
        <v>11.0</v>
      </c>
      <c r="R20" s="100">
        <v>0.9090909090909091</v>
      </c>
      <c r="S20" s="101">
        <v>0.0</v>
      </c>
      <c r="T20" s="100">
        <v>0.0356351282695863</v>
      </c>
      <c r="U20" s="100">
        <v>0.3134696843767586</v>
      </c>
      <c r="V20" s="99">
        <v>75.0</v>
      </c>
      <c r="W20" s="99">
        <v>100.0</v>
      </c>
      <c r="X20" s="99">
        <v>0.0</v>
      </c>
      <c r="Y20" s="99">
        <v>25.0</v>
      </c>
      <c r="Z20" s="102">
        <v>63.75000000000001</v>
      </c>
      <c r="AA20" s="103" t="str">
        <v>D</v>
      </c>
      <c r="AB20" s="99">
        <v>6.0</v>
      </c>
      <c r="AC20" s="98" t="str">
        <v/>
      </c>
    </row>
    <row r="21">
      <c r="A21" s="93" t="inlineStr">
        <is>
          <t xml:space="preserve">Hokuto Photochem</t>
        </is>
      </c>
      <c r="B21" s="99">
        <f>COUNTIFS(PO_Data[supplier_name],$A21,PO_Data[Order_Year],$B$3)</f>
        <v>9.0</v>
      </c>
      <c r="C21" s="100">
        <f>IFERROR(AVERAGEIFS(PO_Data[OTIF],PO_Data[supplier_name],$A21,PO_Data[Order_Year],$B$3),"")</f>
        <v>0.6666666666666666</v>
      </c>
      <c r="D21" s="101">
        <f>IFERROR(SUMIFS(Receiving_Data[qty_rejected],Receiving_Data[supplier_name],$A21,Receiving_Data[Receipt_Year],$B$3)/SUMIFS(Receiving_Data[qty_received],Receiving_Data[supplier_name],$A21,Receiving_Data[Receipt_Year],$B$3)*1000000,"")</f>
        <v>1987.2351929049858</v>
      </c>
      <c r="E21" s="100">
        <f>IFERROR(SUMIFS(PO_Data[PPV_USD],PO_Data[supplier_name],$A21,PO_Data[Order_Year],$B$3)/SUMIFS(PO_Data[Std_Value_USD],PO_Data[supplier_name],$A21,PO_Data[Order_Year],$B$3),"")</f>
        <v>0.016317591974148025</v>
      </c>
      <c r="F21" s="100" cm="1">
        <f t="array" ref="F21">IFERROR(_xlfn.STDEV.S(_xlfn._xlws.FILTER(PO_Data[Lead_Time_Days],(PO_Data[supplier_name]=$A21)*(PO_Data[Order_Year]=$B$3)))/AVERAGEIFS(PO_Data[Lead_Time_Days],PO_Data[supplier_name],$A21,PO_Data[Order_Year],$B$3),"")</f>
        <v>0.06967271161618077</v>
      </c>
      <c r="G21" s="99">
        <f>IF(C21="","",IF(C21&gt;=$E$5,100,IF(C21&gt;=$F$5,75,IF(C21&gt;=$G$5,50,IF(C21&gt;=$H$5,25,0)))))</f>
        <v>0.0</v>
      </c>
      <c r="H21" s="99">
        <f>IF(D21="","",IF(D21&lt;=$E$6,100,IF(D21&lt;=$F$6,75,IF(D21&lt;=$G$6,50,IF(D21&lt;=$H$6,25,0)))))</f>
        <v>0.0</v>
      </c>
      <c r="I21" s="99">
        <f>IF(E21="","",IF(E21&lt;=$E$7,100,IF(E21&lt;=$F$7,75,IF(E21&lt;=$G$7,50,IF(E21&lt;=$H$7,25,0)))))</f>
        <v>50.0</v>
      </c>
      <c r="J21" s="99">
        <f>IF(F21="","",IF(F21&lt;=$E$8,100,IF(F21&lt;=$F$8,75,IF(F21&lt;=$G$8,50,IF(F21&lt;=$H$8,25,0)))))</f>
        <v>100.0</v>
      </c>
      <c r="K21" s="102">
        <f>IFERROR((G21*$B$5+H21*$B$6+I21*$B$7+J21*$B$8)/SUM($B$5:$B$8),"")</f>
        <v>20.000000000000004</v>
      </c>
      <c r="L21" s="103" t="str">
        <f>IF(OR(B21&lt;$B$10,K21=""),"Not enough data",IF(K21&gt;=$E$9,"A",IF(K21&gt;=$F$9,"B",IF(K21&gt;=$G$9,"C","D"))))</f>
        <v>D</v>
      </c>
      <c r="M21" s="99">
        <f>IF(OR(L21="Not enough data",K21=""),"",COUNTIFS($K$15:$K$33,"&gt;"&amp;K21,$B$15:$B$33,"&gt;="&amp;$B$10)+1)</f>
        <v>13.0</v>
      </c>
      <c r="N21" s="98" t="str">
        <f>IF(AND(ISNUMBER(D21),D21&gt;$E$10),"Corrective action","")</f>
        <v>Corrective action</v>
      </c>
      <c r="P21" s="93" t="str">
        <v>Probecard Dynamics</v>
      </c>
      <c r="Q21" s="99">
        <v>6.0</v>
      </c>
      <c r="R21" s="100">
        <v>0.6666666666666666</v>
      </c>
      <c r="S21" s="101">
        <v>0.0</v>
      </c>
      <c r="T21" s="100">
        <v>0.010234602150537602</v>
      </c>
      <c r="U21" s="100">
        <v>0.04034453693995823</v>
      </c>
      <c r="V21" s="99">
        <v>0.0</v>
      </c>
      <c r="W21" s="99">
        <v>100.0</v>
      </c>
      <c r="X21" s="99">
        <v>50.0</v>
      </c>
      <c r="Y21" s="99">
        <v>100.0</v>
      </c>
      <c r="Z21" s="102">
        <v>55.00000000000001</v>
      </c>
      <c r="AA21" s="103" t="str">
        <v>D</v>
      </c>
      <c r="AB21" s="99">
        <v>7.0</v>
      </c>
      <c r="AC21" s="98" t="str">
        <v/>
      </c>
    </row>
    <row r="22">
      <c r="A22" s="93" t="inlineStr">
        <is>
          <t xml:space="preserve">Hsinchu Substrate Co</t>
        </is>
      </c>
      <c r="B22" s="99">
        <f>COUNTIFS(PO_Data[supplier_name],$A22,PO_Data[Order_Year],$B$3)</f>
        <v>10.0</v>
      </c>
      <c r="C22" s="100">
        <f>IFERROR(AVERAGEIFS(PO_Data[OTIF],PO_Data[supplier_name],$A22,PO_Data[Order_Year],$B$3),"")</f>
        <v>0.7</v>
      </c>
      <c r="D22" s="101">
        <f>IFERROR(SUMIFS(Receiving_Data[qty_rejected],Receiving_Data[supplier_name],$A22,Receiving_Data[Receipt_Year],$B$3)/SUMIFS(Receiving_Data[qty_received],Receiving_Data[supplier_name],$A22,Receiving_Data[Receipt_Year],$B$3)*1000000,"")</f>
        <v>4217.674733426369</v>
      </c>
      <c r="E22" s="100">
        <f>IFERROR(SUMIFS(PO_Data[PPV_USD],PO_Data[supplier_name],$A22,PO_Data[Order_Year],$B$3)/SUMIFS(PO_Data[Std_Value_USD],PO_Data[supplier_name],$A22,PO_Data[Order_Year],$B$3),"")</f>
        <v>0.015245930508238166</v>
      </c>
      <c r="F22" s="100" cm="1">
        <f t="array" ref="F22">IFERROR(_xlfn.STDEV.S(_xlfn._xlws.FILTER(PO_Data[Lead_Time_Days],(PO_Data[supplier_name]=$A22)*(PO_Data[Order_Year]=$B$3)))/AVERAGEIFS(PO_Data[Lead_Time_Days],PO_Data[supplier_name],$A22,PO_Data[Order_Year],$B$3),"")</f>
        <v>0.07175660461836594</v>
      </c>
      <c r="G22" s="99">
        <f>IF(C22="","",IF(C22&gt;=$E$5,100,IF(C22&gt;=$F$5,75,IF(C22&gt;=$G$5,50,IF(C22&gt;=$H$5,25,0)))))</f>
        <v>0.0</v>
      </c>
      <c r="H22" s="99">
        <f>IF(D22="","",IF(D22&lt;=$E$6,100,IF(D22&lt;=$F$6,75,IF(D22&lt;=$G$6,50,IF(D22&lt;=$H$6,25,0)))))</f>
        <v>0.0</v>
      </c>
      <c r="I22" s="99">
        <f>IF(E22="","",IF(E22&lt;=$E$7,100,IF(E22&lt;=$F$7,75,IF(E22&lt;=$G$7,50,IF(E22&lt;=$H$7,25,0)))))</f>
        <v>50.0</v>
      </c>
      <c r="J22" s="99">
        <f>IF(F22="","",IF(F22&lt;=$E$8,100,IF(F22&lt;=$F$8,75,IF(F22&lt;=$G$8,50,IF(F22&lt;=$H$8,25,0)))))</f>
        <v>100.0</v>
      </c>
      <c r="K22" s="102">
        <f>IFERROR((G22*$B$5+H22*$B$6+I22*$B$7+J22*$B$8)/SUM($B$5:$B$8),"")</f>
        <v>20.000000000000004</v>
      </c>
      <c r="L22" s="103" t="str">
        <f>IF(OR(B22&lt;$B$10,K22=""),"Not enough data",IF(K22&gt;=$E$9,"A",IF(K22&gt;=$F$9,"B",IF(K22&gt;=$G$9,"C","D"))))</f>
        <v>D</v>
      </c>
      <c r="M22" s="99">
        <f>IF(OR(L22="Not enough data",K22=""),"",COUNTIFS($K$15:$K$33,"&gt;"&amp;K22,$B$15:$B$33,"&gt;="&amp;$B$10)+1)</f>
        <v>13.0</v>
      </c>
      <c r="N22" s="98" t="str">
        <f>IF(AND(ISNUMBER(D22),D22&gt;$E$10),"Corrective action","")</f>
        <v>Corrective action</v>
      </c>
      <c r="P22" s="93" t="str">
        <v>Quartzline Components</v>
      </c>
      <c r="Q22" s="99">
        <v>9.0</v>
      </c>
      <c r="R22" s="100">
        <v>0.6666666666666666</v>
      </c>
      <c r="S22" s="101">
        <v>0.0</v>
      </c>
      <c r="T22" s="100">
        <v>0.02122825438312059</v>
      </c>
      <c r="U22" s="100">
        <v>0.11602394923963988</v>
      </c>
      <c r="V22" s="99">
        <v>0.0</v>
      </c>
      <c r="W22" s="99">
        <v>100.0</v>
      </c>
      <c r="X22" s="99">
        <v>25.0</v>
      </c>
      <c r="Y22" s="99">
        <v>75.0</v>
      </c>
      <c r="Z22" s="102">
        <v>47.50000000000001</v>
      </c>
      <c r="AA22" s="103" t="str">
        <v>D</v>
      </c>
      <c r="AB22" s="99">
        <v>8.0</v>
      </c>
      <c r="AC22" s="98" t="str">
        <v/>
      </c>
    </row>
    <row r="23">
      <c r="A23" s="93" t="inlineStr">
        <is>
          <t xml:space="preserve">Kirin Silicon Works</t>
        </is>
      </c>
      <c r="B23" s="99">
        <f>COUNTIFS(PO_Data[supplier_name],$A23,PO_Data[Order_Year],$B$3)</f>
        <v>4.0</v>
      </c>
      <c r="C23" s="100">
        <f>IFERROR(AVERAGEIFS(PO_Data[OTIF],PO_Data[supplier_name],$A23,PO_Data[Order_Year],$B$3),"")</f>
        <v>0.25</v>
      </c>
      <c r="D23" s="101">
        <f>IFERROR(SUMIFS(Receiving_Data[qty_rejected],Receiving_Data[supplier_name],$A23,Receiving_Data[Receipt_Year],$B$3)/SUMIFS(Receiving_Data[qty_received],Receiving_Data[supplier_name],$A23,Receiving_Data[Receipt_Year],$B$3)*1000000,"")</f>
        <v>328.1229924743712</v>
      </c>
      <c r="E23" s="100">
        <f>IFERROR(SUMIFS(PO_Data[PPV_USD],PO_Data[supplier_name],$A23,PO_Data[Order_Year],$B$3)/SUMIFS(PO_Data[Std_Value_USD],PO_Data[supplier_name],$A23,PO_Data[Order_Year],$B$3),"")</f>
        <v>0.022468013450846352</v>
      </c>
      <c r="F23" s="100" cm="1">
        <f t="array" ref="F23">IFERROR(_xlfn.STDEV.S(_xlfn._xlws.FILTER(PO_Data[Lead_Time_Days],(PO_Data[supplier_name]=$A23)*(PO_Data[Order_Year]=$B$3)))/AVERAGEIFS(PO_Data[Lead_Time_Days],PO_Data[supplier_name],$A23,PO_Data[Order_Year],$B$3),"")</f>
        <v>0.06154574548966636</v>
      </c>
      <c r="G23" s="99">
        <f>IF(C23="","",IF(C23&gt;=$E$5,100,IF(C23&gt;=$F$5,75,IF(C23&gt;=$G$5,50,IF(C23&gt;=$H$5,25,0)))))</f>
        <v>0.0</v>
      </c>
      <c r="H23" s="99">
        <f>IF(D23="","",IF(D23&lt;=$E$6,100,IF(D23&lt;=$F$6,75,IF(D23&lt;=$G$6,50,IF(D23&lt;=$H$6,25,0)))))</f>
        <v>75.0</v>
      </c>
      <c r="I23" s="99">
        <f>IF(E23="","",IF(E23&lt;=$E$7,100,IF(E23&lt;=$F$7,75,IF(E23&lt;=$G$7,50,IF(E23&lt;=$H$7,25,0)))))</f>
        <v>25.0</v>
      </c>
      <c r="J23" s="99">
        <f>IF(F23="","",IF(F23&lt;=$E$8,100,IF(F23&lt;=$F$8,75,IF(F23&lt;=$G$8,50,IF(F23&lt;=$H$8,25,0)))))</f>
        <v>100.0</v>
      </c>
      <c r="K23" s="102">
        <f>IFERROR((G23*$B$5+H23*$B$6+I23*$B$7+J23*$B$8)/SUM($B$5:$B$8),"")</f>
        <v>41.25000000000001</v>
      </c>
      <c r="L23" s="103" t="str">
        <f>IF(OR(B23&lt;$B$10,K23=""),"Not enough data",IF(K23&gt;=$E$9,"A",IF(K23&gt;=$F$9,"B",IF(K23&gt;=$G$9,"C","D"))))</f>
        <v>Not enough data</v>
      </c>
      <c r="M23" s="99" t="str">
        <f>IF(OR(L23="Not enough data",K23=""),"",COUNTIFS($K$15:$K$33,"&gt;"&amp;K23,$B$15:$B$33,"&gt;="&amp;$B$10)+1)</f>
        <v/>
      </c>
      <c r="N23" s="98" t="str">
        <f>IF(AND(ISNUMBER(D23),D23&gt;$E$10),"Corrective action","")</f>
        <v/>
      </c>
      <c r="P23" s="93" t="str">
        <v>Elbe Precursor GmbH</v>
      </c>
      <c r="Q23" s="99">
        <v>9.0</v>
      </c>
      <c r="R23" s="100">
        <v>0.8888888888888888</v>
      </c>
      <c r="S23" s="101">
        <v>1359.835466673883</v>
      </c>
      <c r="T23" s="100">
        <v>0.00546975100142162</v>
      </c>
      <c r="U23" s="100">
        <v>0.04629100498862757</v>
      </c>
      <c r="V23" s="99">
        <v>50.0</v>
      </c>
      <c r="W23" s="99">
        <v>0.0</v>
      </c>
      <c r="X23" s="99">
        <v>75.0</v>
      </c>
      <c r="Y23" s="99">
        <v>100.0</v>
      </c>
      <c r="Z23" s="102">
        <v>42.50000000000001</v>
      </c>
      <c r="AA23" s="103" t="str">
        <v>D</v>
      </c>
      <c r="AB23" s="99">
        <v>9.0</v>
      </c>
      <c r="AC23" s="98" t="str">
        <v>Corrective action</v>
      </c>
    </row>
    <row r="24">
      <c r="A24" s="93" t="inlineStr">
        <is>
          <t xml:space="preserve">Kyushu Underfill</t>
        </is>
      </c>
      <c r="B24" s="99">
        <f>COUNTIFS(PO_Data[supplier_name],$A24,PO_Data[Order_Year],$B$3)</f>
        <v>10.0</v>
      </c>
      <c r="C24" s="100">
        <f>IFERROR(AVERAGEIFS(PO_Data[OTIF],PO_Data[supplier_name],$A24,PO_Data[Order_Year],$B$3),"")</f>
        <v>0.8</v>
      </c>
      <c r="D24" s="101">
        <f>IFERROR(SUMIFS(Receiving_Data[qty_rejected],Receiving_Data[supplier_name],$A24,Receiving_Data[Receipt_Year],$B$3)/SUMIFS(Receiving_Data[qty_received],Receiving_Data[supplier_name],$A24,Receiving_Data[Receipt_Year],$B$3)*1000000,"")</f>
        <v>220.7531759808962</v>
      </c>
      <c r="E24" s="100">
        <f>IFERROR(SUMIFS(PO_Data[PPV_USD],PO_Data[supplier_name],$A24,PO_Data[Order_Year],$B$3)/SUMIFS(PO_Data[Std_Value_USD],PO_Data[supplier_name],$A24,PO_Data[Order_Year],$B$3),"")</f>
        <v>0.0048712819429527834</v>
      </c>
      <c r="F24" s="100" cm="1">
        <f t="array" ref="F24">IFERROR(_xlfn.STDEV.S(_xlfn._xlws.FILTER(PO_Data[Lead_Time_Days],(PO_Data[supplier_name]=$A24)*(PO_Data[Order_Year]=$B$3)))/AVERAGEIFS(PO_Data[Lead_Time_Days],PO_Data[supplier_name],$A24,PO_Data[Order_Year],$B$3),"")</f>
        <v>0.06981562218116041</v>
      </c>
      <c r="G24" s="99">
        <f>IF(C24="","",IF(C24&gt;=$E$5,100,IF(C24&gt;=$F$5,75,IF(C24&gt;=$G$5,50,IF(C24&gt;=$H$5,25,0)))))</f>
        <v>25.0</v>
      </c>
      <c r="H24" s="99">
        <f>IF(D24="","",IF(D24&lt;=$E$6,100,IF(D24&lt;=$F$6,75,IF(D24&lt;=$G$6,50,IF(D24&lt;=$H$6,25,0)))))</f>
        <v>100.0</v>
      </c>
      <c r="I24" s="99">
        <f>IF(E24="","",IF(E24&lt;=$E$7,100,IF(E24&lt;=$F$7,75,IF(E24&lt;=$G$7,50,IF(E24&lt;=$H$7,25,0)))))</f>
        <v>75.0</v>
      </c>
      <c r="J24" s="99">
        <f>IF(F24="","",IF(F24&lt;=$E$8,100,IF(F24&lt;=$F$8,75,IF(F24&lt;=$G$8,50,IF(F24&lt;=$H$8,25,0)))))</f>
        <v>100.0</v>
      </c>
      <c r="K24" s="102">
        <f>IFERROR((G24*$B$5+H24*$B$6+I24*$B$7+J24*$B$8)/SUM($B$5:$B$8),"")</f>
        <v>68.75000000000001</v>
      </c>
      <c r="L24" s="103" t="str">
        <f>IF(OR(B24&lt;$B$10,K24=""),"Not enough data",IF(K24&gt;=$E$9,"A",IF(K24&gt;=$F$9,"B",IF(K24&gt;=$G$9,"C","D"))))</f>
        <v>D</v>
      </c>
      <c r="M24" s="99">
        <f>IF(OR(L24="Not enough data",K24=""),"",COUNTIFS($K$15:$K$33,"&gt;"&amp;K24,$B$15:$B$33,"&gt;="&amp;$B$10)+1)</f>
        <v>4.0</v>
      </c>
      <c r="N24" s="98" t="str">
        <f>IF(AND(ISNUMBER(D24),D24&gt;$E$10),"Corrective action","")</f>
        <v/>
      </c>
      <c r="P24" s="93" t="str">
        <v>Cascade Planarization</v>
      </c>
      <c r="Q24" s="99">
        <v>18.0</v>
      </c>
      <c r="R24" s="100">
        <v>0.8888888888888888</v>
      </c>
      <c r="S24" s="101">
        <v>2568.4496568305676</v>
      </c>
      <c r="T24" s="100">
        <v>0.011934838699577932</v>
      </c>
      <c r="U24" s="100">
        <v>0.08153017529245997</v>
      </c>
      <c r="V24" s="99">
        <v>50.0</v>
      </c>
      <c r="W24" s="99">
        <v>0.0</v>
      </c>
      <c r="X24" s="99">
        <v>50.0</v>
      </c>
      <c r="Y24" s="99">
        <v>100.0</v>
      </c>
      <c r="Z24" s="102">
        <v>37.50000000000001</v>
      </c>
      <c r="AA24" s="103" t="str">
        <v>D</v>
      </c>
      <c r="AB24" s="99">
        <v>10.0</v>
      </c>
      <c r="AC24" s="98" t="str">
        <v>Corrective action</v>
      </c>
    </row>
    <row r="25">
      <c r="A25" s="93" t="inlineStr">
        <is>
          <t xml:space="preserve">Lone Star Gas Supply</t>
        </is>
      </c>
      <c r="B25" s="99">
        <f>COUNTIFS(PO_Data[supplier_name],$A25,PO_Data[Order_Year],$B$3)</f>
        <v>11.0</v>
      </c>
      <c r="C25" s="100">
        <f>IFERROR(AVERAGEIFS(PO_Data[OTIF],PO_Data[supplier_name],$A25,PO_Data[Order_Year],$B$3),"")</f>
        <v>0.8181818181818182</v>
      </c>
      <c r="D25" s="101">
        <f>IFERROR(SUMIFS(Receiving_Data[qty_rejected],Receiving_Data[supplier_name],$A25,Receiving_Data[Receipt_Year],$B$3)/SUMIFS(Receiving_Data[qty_received],Receiving_Data[supplier_name],$A25,Receiving_Data[Receipt_Year],$B$3)*1000000,"")</f>
        <v>201.70912077398515</v>
      </c>
      <c r="E25" s="100">
        <f>IFERROR(SUMIFS(PO_Data[PPV_USD],PO_Data[supplier_name],$A25,PO_Data[Order_Year],$B$3)/SUMIFS(PO_Data[Std_Value_USD],PO_Data[supplier_name],$A25,PO_Data[Order_Year],$B$3),"")</f>
        <v>0.007193524752944537</v>
      </c>
      <c r="F25" s="100" cm="1">
        <f t="array" ref="F25">IFERROR(_xlfn.STDEV.S(_xlfn._xlws.FILTER(PO_Data[Lead_Time_Days],(PO_Data[supplier_name]=$A25)*(PO_Data[Order_Year]=$B$3)))/AVERAGEIFS(PO_Data[Lead_Time_Days],PO_Data[supplier_name],$A25,PO_Data[Order_Year],$B$3),"")</f>
        <v>0.1957375052619996</v>
      </c>
      <c r="G25" s="99">
        <f>IF(C25="","",IF(C25&gt;=$E$5,100,IF(C25&gt;=$F$5,75,IF(C25&gt;=$G$5,50,IF(C25&gt;=$H$5,25,0)))))</f>
        <v>25.0</v>
      </c>
      <c r="H25" s="99">
        <f>IF(D25="","",IF(D25&lt;=$E$6,100,IF(D25&lt;=$F$6,75,IF(D25&lt;=$G$6,50,IF(D25&lt;=$H$6,25,0)))))</f>
        <v>100.0</v>
      </c>
      <c r="I25" s="99">
        <f>IF(E25="","",IF(E25&lt;=$E$7,100,IF(E25&lt;=$F$7,75,IF(E25&lt;=$G$7,50,IF(E25&lt;=$H$7,25,0)))))</f>
        <v>75.0</v>
      </c>
      <c r="J25" s="99">
        <f>IF(F25="","",IF(F25&lt;=$E$8,100,IF(F25&lt;=$F$8,75,IF(F25&lt;=$G$8,50,IF(F25&lt;=$H$8,25,0)))))</f>
        <v>75.0</v>
      </c>
      <c r="K25" s="102">
        <f>IFERROR((G25*$B$5+H25*$B$6+I25*$B$7+J25*$B$8)/SUM($B$5:$B$8),"")</f>
        <v>66.25000000000001</v>
      </c>
      <c r="L25" s="103" t="str">
        <f>IF(OR(B25&lt;$B$10,K25=""),"Not enough data",IF(K25&gt;=$E$9,"A",IF(K25&gt;=$F$9,"B",IF(K25&gt;=$G$9,"C","D"))))</f>
        <v>D</v>
      </c>
      <c r="M25" s="99">
        <f>IF(OR(L25="Not enough data",K25=""),"",COUNTIFS($K$15:$K$33,"&gt;"&amp;K25,$B$15:$B$33,"&gt;="&amp;$B$10)+1)</f>
        <v>5.0</v>
      </c>
      <c r="N25" s="98" t="str">
        <f>IF(AND(ISNUMBER(D25),D25&gt;$E$10),"Corrective action","")</f>
        <v/>
      </c>
      <c r="P25" s="93" t="str">
        <v>Formosa Wafer Corp</v>
      </c>
      <c r="Q25" s="99">
        <v>5.0</v>
      </c>
      <c r="R25" s="100">
        <v>0.6</v>
      </c>
      <c r="S25" s="101">
        <v>815.5178470823874</v>
      </c>
      <c r="T25" s="100">
        <v>-0.012300985680569755</v>
      </c>
      <c r="U25" s="100">
        <v>0.10517697166432297</v>
      </c>
      <c r="V25" s="99">
        <v>0.0</v>
      </c>
      <c r="W25" s="99">
        <v>25.0</v>
      </c>
      <c r="X25" s="99">
        <v>100.0</v>
      </c>
      <c r="Y25" s="99">
        <v>75.0</v>
      </c>
      <c r="Z25" s="102">
        <v>36.25000000000001</v>
      </c>
      <c r="AA25" s="103" t="str">
        <v>D</v>
      </c>
      <c r="AB25" s="99">
        <v>11.0</v>
      </c>
      <c r="AC25" s="98" t="str">
        <v/>
      </c>
    </row>
    <row r="26">
      <c r="A26" s="93" t="inlineStr">
        <is>
          <t xml:space="preserve">Pacific Electrochem</t>
        </is>
      </c>
      <c r="B26" s="99">
        <f>COUNTIFS(PO_Data[supplier_name],$A26,PO_Data[Order_Year],$B$3)</f>
        <v>10.0</v>
      </c>
      <c r="C26" s="100">
        <f>IFERROR(AVERAGEIFS(PO_Data[OTIF],PO_Data[supplier_name],$A26,PO_Data[Order_Year],$B$3),"")</f>
        <v>0.9</v>
      </c>
      <c r="D26" s="101">
        <f>IFERROR(SUMIFS(Receiving_Data[qty_rejected],Receiving_Data[supplier_name],$A26,Receiving_Data[Receipt_Year],$B$3)/SUMIFS(Receiving_Data[qty_received],Receiving_Data[supplier_name],$A26,Receiving_Data[Receipt_Year],$B$3)*1000000,"")</f>
        <v>440.5482218247937</v>
      </c>
      <c r="E26" s="100">
        <f>IFERROR(SUMIFS(PO_Data[PPV_USD],PO_Data[supplier_name],$A26,PO_Data[Order_Year],$B$3)/SUMIFS(PO_Data[Std_Value_USD],PO_Data[supplier_name],$A26,PO_Data[Order_Year],$B$3),"")</f>
        <v>0.013891390356025969</v>
      </c>
      <c r="F26" s="100" cm="1">
        <f t="array" ref="F26">IFERROR(_xlfn.STDEV.S(_xlfn._xlws.FILTER(PO_Data[Lead_Time_Days],(PO_Data[supplier_name]=$A26)*(PO_Data[Order_Year]=$B$3)))/AVERAGEIFS(PO_Data[Lead_Time_Days],PO_Data[supplier_name],$A26,PO_Data[Order_Year],$B$3),"")</f>
        <v>0.11236519604659216</v>
      </c>
      <c r="G26" s="99">
        <f>IF(C26="","",IF(C26&gt;=$E$5,100,IF(C26&gt;=$F$5,75,IF(C26&gt;=$G$5,50,IF(C26&gt;=$H$5,25,0)))))</f>
        <v>75.0</v>
      </c>
      <c r="H26" s="99">
        <f>IF(D26="","",IF(D26&lt;=$E$6,100,IF(D26&lt;=$F$6,75,IF(D26&lt;=$G$6,50,IF(D26&lt;=$H$6,25,0)))))</f>
        <v>75.0</v>
      </c>
      <c r="I26" s="99">
        <f>IF(E26="","",IF(E26&lt;=$E$7,100,IF(E26&lt;=$F$7,75,IF(E26&lt;=$G$7,50,IF(E26&lt;=$H$7,25,0)))))</f>
        <v>50.0</v>
      </c>
      <c r="J26" s="99">
        <f>IF(F26="","",IF(F26&lt;=$E$8,100,IF(F26&lt;=$F$8,75,IF(F26&lt;=$G$8,50,IF(F26&lt;=$H$8,25,0)))))</f>
        <v>75.0</v>
      </c>
      <c r="K26" s="102">
        <f>IFERROR((G26*$B$5+H26*$B$6+I26*$B$7+J26*$B$8)/SUM($B$5:$B$8),"")</f>
        <v>70.00000000000001</v>
      </c>
      <c r="L26" s="103" t="str">
        <f>IF(OR(B26&lt;$B$10,K26=""),"Not enough data",IF(K26&gt;=$E$9,"A",IF(K26&gt;=$F$9,"B",IF(K26&gt;=$G$9,"C","D"))))</f>
        <v>C</v>
      </c>
      <c r="M26" s="99">
        <f>IF(OR(L26="Not enough data",K26=""),"",COUNTIFS($K$15:$K$33,"&gt;"&amp;K26,$B$15:$B$33,"&gt;="&amp;$B$10)+1)</f>
        <v>3.0</v>
      </c>
      <c r="N26" s="98" t="str">
        <f>IF(AND(ISNUMBER(D26),D26&gt;$E$10),"Corrective action","")</f>
        <v/>
      </c>
      <c r="P26" s="93" t="str">
        <v>Hanbit Industrial Gas</v>
      </c>
      <c r="Q26" s="99">
        <v>16.0</v>
      </c>
      <c r="R26" s="100">
        <v>0.75</v>
      </c>
      <c r="S26" s="101">
        <v>674.3934256823251</v>
      </c>
      <c r="T26" s="100">
        <v>0.02211200202931647</v>
      </c>
      <c r="U26" s="100">
        <v>0.16776502301862142</v>
      </c>
      <c r="V26" s="99">
        <v>0.0</v>
      </c>
      <c r="W26" s="99">
        <v>50.0</v>
      </c>
      <c r="X26" s="99">
        <v>25.0</v>
      </c>
      <c r="Y26" s="99">
        <v>75.0</v>
      </c>
      <c r="Z26" s="102">
        <v>30.000000000000004</v>
      </c>
      <c r="AA26" s="103" t="str">
        <v>D</v>
      </c>
      <c r="AB26" s="99">
        <v>12.0</v>
      </c>
      <c r="AC26" s="98" t="str">
        <v/>
      </c>
    </row>
    <row r="27">
      <c r="A27" s="93" t="inlineStr">
        <is>
          <t xml:space="preserve">Penang Bond Materials</t>
        </is>
      </c>
      <c r="B27" s="99">
        <f>COUNTIFS(PO_Data[supplier_name],$A27,PO_Data[Order_Year],$B$3)</f>
        <v>20.0</v>
      </c>
      <c r="C27" s="100">
        <f>IFERROR(AVERAGEIFS(PO_Data[OTIF],PO_Data[supplier_name],$A27,PO_Data[Order_Year],$B$3),"")</f>
        <v>0.75</v>
      </c>
      <c r="D27" s="101">
        <f>IFERROR(SUMIFS(Receiving_Data[qty_rejected],Receiving_Data[supplier_name],$A27,Receiving_Data[Receipt_Year],$B$3)/SUMIFS(Receiving_Data[qty_received],Receiving_Data[supplier_name],$A27,Receiving_Data[Receipt_Year],$B$3)*1000000,"")</f>
        <v>1191.1195601328827</v>
      </c>
      <c r="E27" s="100">
        <f>IFERROR(SUMIFS(PO_Data[PPV_USD],PO_Data[supplier_name],$A27,PO_Data[Order_Year],$B$3)/SUMIFS(PO_Data[Std_Value_USD],PO_Data[supplier_name],$A27,PO_Data[Order_Year],$B$3),"")</f>
        <v>0.01380227934214347</v>
      </c>
      <c r="F27" s="100" cm="1">
        <f t="array" ref="F27">IFERROR(_xlfn.STDEV.S(_xlfn._xlws.FILTER(PO_Data[Lead_Time_Days],(PO_Data[supplier_name]=$A27)*(PO_Data[Order_Year]=$B$3)))/AVERAGEIFS(PO_Data[Lead_Time_Days],PO_Data[supplier_name],$A27,PO_Data[Order_Year],$B$3),"")</f>
        <v>0.14673326667501307</v>
      </c>
      <c r="G27" s="99">
        <f>IF(C27="","",IF(C27&gt;=$E$5,100,IF(C27&gt;=$F$5,75,IF(C27&gt;=$G$5,50,IF(C27&gt;=$H$5,25,0)))))</f>
        <v>0.0</v>
      </c>
      <c r="H27" s="99">
        <f>IF(D27="","",IF(D27&lt;=$E$6,100,IF(D27&lt;=$F$6,75,IF(D27&lt;=$G$6,50,IF(D27&lt;=$H$6,25,0)))))</f>
        <v>0.0</v>
      </c>
      <c r="I27" s="99">
        <f>IF(E27="","",IF(E27&lt;=$E$7,100,IF(E27&lt;=$F$7,75,IF(E27&lt;=$G$7,50,IF(E27&lt;=$H$7,25,0)))))</f>
        <v>50.0</v>
      </c>
      <c r="J27" s="99">
        <f>IF(F27="","",IF(F27&lt;=$E$8,100,IF(F27&lt;=$F$8,75,IF(F27&lt;=$G$8,50,IF(F27&lt;=$H$8,25,0)))))</f>
        <v>75.0</v>
      </c>
      <c r="K27" s="102">
        <f>IFERROR((G27*$B$5+H27*$B$6+I27*$B$7+J27*$B$8)/SUM($B$5:$B$8),"")</f>
        <v>17.500000000000004</v>
      </c>
      <c r="L27" s="103" t="str">
        <f>IF(OR(B27&lt;$B$10,K27=""),"Not enough data",IF(K27&gt;=$E$9,"A",IF(K27&gt;=$F$9,"B",IF(K27&gt;=$G$9,"C","D"))))</f>
        <v>D</v>
      </c>
      <c r="M27" s="99">
        <f>IF(OR(L27="Not enough data",K27=""),"",COUNTIFS($K$15:$K$33,"&gt;"&amp;K27,$B$15:$B$33,"&gt;="&amp;$B$10)+1)</f>
        <v>16.0</v>
      </c>
      <c r="N27" s="98" t="str">
        <f>IF(AND(ISNUMBER(D27),D27&gt;$E$10),"Corrective action","")</f>
        <v>Corrective action</v>
      </c>
      <c r="P27" s="93" t="str">
        <v>Hokuto Photochem</v>
      </c>
      <c r="Q27" s="99">
        <v>9.0</v>
      </c>
      <c r="R27" s="100">
        <v>0.6666666666666666</v>
      </c>
      <c r="S27" s="101">
        <v>1987.2351929049858</v>
      </c>
      <c r="T27" s="100">
        <v>0.016317591974148025</v>
      </c>
      <c r="U27" s="100">
        <v>0.06967271161618077</v>
      </c>
      <c r="V27" s="99">
        <v>0.0</v>
      </c>
      <c r="W27" s="99">
        <v>0.0</v>
      </c>
      <c r="X27" s="99">
        <v>50.0</v>
      </c>
      <c r="Y27" s="99">
        <v>100.0</v>
      </c>
      <c r="Z27" s="102">
        <v>20.000000000000004</v>
      </c>
      <c r="AA27" s="103" t="str">
        <v>D</v>
      </c>
      <c r="AB27" s="99">
        <v>13.0</v>
      </c>
      <c r="AC27" s="98" t="str">
        <v>Corrective action</v>
      </c>
    </row>
    <row r="28">
      <c r="A28" s="93" t="inlineStr">
        <is>
          <t xml:space="preserve">Probecard Dynamics</t>
        </is>
      </c>
      <c r="B28" s="99">
        <f>COUNTIFS(PO_Data[supplier_name],$A28,PO_Data[Order_Year],$B$3)</f>
        <v>6.0</v>
      </c>
      <c r="C28" s="100">
        <f>IFERROR(AVERAGEIFS(PO_Data[OTIF],PO_Data[supplier_name],$A28,PO_Data[Order_Year],$B$3),"")</f>
        <v>0.6666666666666666</v>
      </c>
      <c r="D28" s="101">
        <f>IFERROR(SUMIFS(Receiving_Data[qty_rejected],Receiving_Data[supplier_name],$A28,Receiving_Data[Receipt_Year],$B$3)/SUMIFS(Receiving_Data[qty_received],Receiving_Data[supplier_name],$A28,Receiving_Data[Receipt_Year],$B$3)*1000000,"")</f>
        <v>0.0</v>
      </c>
      <c r="E28" s="100">
        <f>IFERROR(SUMIFS(PO_Data[PPV_USD],PO_Data[supplier_name],$A28,PO_Data[Order_Year],$B$3)/SUMIFS(PO_Data[Std_Value_USD],PO_Data[supplier_name],$A28,PO_Data[Order_Year],$B$3),"")</f>
        <v>0.010234602150537602</v>
      </c>
      <c r="F28" s="100" cm="1">
        <f t="array" ref="F28">IFERROR(_xlfn.STDEV.S(_xlfn._xlws.FILTER(PO_Data[Lead_Time_Days],(PO_Data[supplier_name]=$A28)*(PO_Data[Order_Year]=$B$3)))/AVERAGEIFS(PO_Data[Lead_Time_Days],PO_Data[supplier_name],$A28,PO_Data[Order_Year],$B$3),"")</f>
        <v>0.04034453693995823</v>
      </c>
      <c r="G28" s="99">
        <f>IF(C28="","",IF(C28&gt;=$E$5,100,IF(C28&gt;=$F$5,75,IF(C28&gt;=$G$5,50,IF(C28&gt;=$H$5,25,0)))))</f>
        <v>0.0</v>
      </c>
      <c r="H28" s="99">
        <f>IF(D28="","",IF(D28&lt;=$E$6,100,IF(D28&lt;=$F$6,75,IF(D28&lt;=$G$6,50,IF(D28&lt;=$H$6,25,0)))))</f>
        <v>100.0</v>
      </c>
      <c r="I28" s="99">
        <f>IF(E28="","",IF(E28&lt;=$E$7,100,IF(E28&lt;=$F$7,75,IF(E28&lt;=$G$7,50,IF(E28&lt;=$H$7,25,0)))))</f>
        <v>50.0</v>
      </c>
      <c r="J28" s="99">
        <f>IF(F28="","",IF(F28&lt;=$E$8,100,IF(F28&lt;=$F$8,75,IF(F28&lt;=$G$8,50,IF(F28&lt;=$H$8,25,0)))))</f>
        <v>100.0</v>
      </c>
      <c r="K28" s="102">
        <f>IFERROR((G28*$B$5+H28*$B$6+I28*$B$7+J28*$B$8)/SUM($B$5:$B$8),"")</f>
        <v>55.00000000000001</v>
      </c>
      <c r="L28" s="103" t="str">
        <f>IF(OR(B28&lt;$B$10,K28=""),"Not enough data",IF(K28&gt;=$E$9,"A",IF(K28&gt;=$F$9,"B",IF(K28&gt;=$G$9,"C","D"))))</f>
        <v>D</v>
      </c>
      <c r="M28" s="99">
        <f>IF(OR(L28="Not enough data",K28=""),"",COUNTIFS($K$15:$K$33,"&gt;"&amp;K28,$B$15:$B$33,"&gt;="&amp;$B$10)+1)</f>
        <v>7.0</v>
      </c>
      <c r="N28" s="98" t="str">
        <f>IF(AND(ISNUMBER(D28),D28&gt;$E$10),"Corrective action","")</f>
        <v/>
      </c>
      <c r="P28" s="93" t="str">
        <v>Hsinchu Substrate Co</v>
      </c>
      <c r="Q28" s="99">
        <v>10.0</v>
      </c>
      <c r="R28" s="100">
        <v>0.7</v>
      </c>
      <c r="S28" s="101">
        <v>4217.674733426369</v>
      </c>
      <c r="T28" s="100">
        <v>0.015245930508238166</v>
      </c>
      <c r="U28" s="100">
        <v>0.07175660461836594</v>
      </c>
      <c r="V28" s="99">
        <v>0.0</v>
      </c>
      <c r="W28" s="99">
        <v>0.0</v>
      </c>
      <c r="X28" s="99">
        <v>50.0</v>
      </c>
      <c r="Y28" s="99">
        <v>100.0</v>
      </c>
      <c r="Z28" s="102">
        <v>20.000000000000004</v>
      </c>
      <c r="AA28" s="103" t="str">
        <v>D</v>
      </c>
      <c r="AB28" s="99">
        <v>13.0</v>
      </c>
      <c r="AC28" s="98" t="str">
        <v>Corrective action</v>
      </c>
    </row>
    <row r="29">
      <c r="A29" s="93" t="inlineStr">
        <is>
          <t xml:space="preserve">Quartzline Components</t>
        </is>
      </c>
      <c r="B29" s="99">
        <f>COUNTIFS(PO_Data[supplier_name],$A29,PO_Data[Order_Year],$B$3)</f>
        <v>9.0</v>
      </c>
      <c r="C29" s="100">
        <f>IFERROR(AVERAGEIFS(PO_Data[OTIF],PO_Data[supplier_name],$A29,PO_Data[Order_Year],$B$3),"")</f>
        <v>0.6666666666666666</v>
      </c>
      <c r="D29" s="101">
        <f>IFERROR(SUMIFS(Receiving_Data[qty_rejected],Receiving_Data[supplier_name],$A29,Receiving_Data[Receipt_Year],$B$3)/SUMIFS(Receiving_Data[qty_received],Receiving_Data[supplier_name],$A29,Receiving_Data[Receipt_Year],$B$3)*1000000,"")</f>
        <v>0.0</v>
      </c>
      <c r="E29" s="100">
        <f>IFERROR(SUMIFS(PO_Data[PPV_USD],PO_Data[supplier_name],$A29,PO_Data[Order_Year],$B$3)/SUMIFS(PO_Data[Std_Value_USD],PO_Data[supplier_name],$A29,PO_Data[Order_Year],$B$3),"")</f>
        <v>0.02122825438312059</v>
      </c>
      <c r="F29" s="100" cm="1">
        <f t="array" ref="F29">IFERROR(_xlfn.STDEV.S(_xlfn._xlws.FILTER(PO_Data[Lead_Time_Days],(PO_Data[supplier_name]=$A29)*(PO_Data[Order_Year]=$B$3)))/AVERAGEIFS(PO_Data[Lead_Time_Days],PO_Data[supplier_name],$A29,PO_Data[Order_Year],$B$3),"")</f>
        <v>0.11602394923963988</v>
      </c>
      <c r="G29" s="99">
        <f>IF(C29="","",IF(C29&gt;=$E$5,100,IF(C29&gt;=$F$5,75,IF(C29&gt;=$G$5,50,IF(C29&gt;=$H$5,25,0)))))</f>
        <v>0.0</v>
      </c>
      <c r="H29" s="99">
        <f>IF(D29="","",IF(D29&lt;=$E$6,100,IF(D29&lt;=$F$6,75,IF(D29&lt;=$G$6,50,IF(D29&lt;=$H$6,25,0)))))</f>
        <v>100.0</v>
      </c>
      <c r="I29" s="99">
        <f>IF(E29="","",IF(E29&lt;=$E$7,100,IF(E29&lt;=$F$7,75,IF(E29&lt;=$G$7,50,IF(E29&lt;=$H$7,25,0)))))</f>
        <v>25.0</v>
      </c>
      <c r="J29" s="99">
        <f>IF(F29="","",IF(F29&lt;=$E$8,100,IF(F29&lt;=$F$8,75,IF(F29&lt;=$G$8,50,IF(F29&lt;=$H$8,25,0)))))</f>
        <v>75.0</v>
      </c>
      <c r="K29" s="102">
        <f>IFERROR((G29*$B$5+H29*$B$6+I29*$B$7+J29*$B$8)/SUM($B$5:$B$8),"")</f>
        <v>47.50000000000001</v>
      </c>
      <c r="L29" s="103" t="str">
        <f>IF(OR(B29&lt;$B$10,K29=""),"Not enough data",IF(K29&gt;=$E$9,"A",IF(K29&gt;=$F$9,"B",IF(K29&gt;=$G$9,"C","D"))))</f>
        <v>D</v>
      </c>
      <c r="M29" s="99">
        <f>IF(OR(L29="Not enough data",K29=""),"",COUNTIFS($K$15:$K$33,"&gt;"&amp;K29,$B$15:$B$33,"&gt;="&amp;$B$10)+1)</f>
        <v>8.0</v>
      </c>
      <c r="N29" s="98" t="str">
        <f>IF(AND(ISNUMBER(D29),D29&gt;$E$10),"Corrective action","")</f>
        <v/>
      </c>
      <c r="P29" s="93" t="str">
        <v>Danube Rare Gases</v>
      </c>
      <c r="Q29" s="99">
        <v>10.0</v>
      </c>
      <c r="R29" s="100">
        <v>0.8</v>
      </c>
      <c r="S29" s="101">
        <v>6389.931910561608</v>
      </c>
      <c r="T29" s="100">
        <v>0.025257189815162236</v>
      </c>
      <c r="U29" s="100">
        <v>0.2851680039640909</v>
      </c>
      <c r="V29" s="99">
        <v>25.0</v>
      </c>
      <c r="W29" s="99">
        <v>0.0</v>
      </c>
      <c r="X29" s="99">
        <v>25.0</v>
      </c>
      <c r="Y29" s="99">
        <v>50.0</v>
      </c>
      <c r="Z29" s="102">
        <v>18.750000000000004</v>
      </c>
      <c r="AA29" s="103" t="str">
        <v>D</v>
      </c>
      <c r="AB29" s="99">
        <v>15.0</v>
      </c>
      <c r="AC29" s="98" t="str">
        <v>Corrective action</v>
      </c>
    </row>
    <row r="30">
      <c r="A30" s="93" t="inlineStr">
        <is>
          <t xml:space="preserve">Rheinland Lithomaterials</t>
        </is>
      </c>
      <c r="B30" s="99">
        <f>COUNTIFS(PO_Data[supplier_name],$A30,PO_Data[Order_Year],$B$3)</f>
        <v>0.0</v>
      </c>
      <c r="C30" s="100" t="str">
        <f>IFERROR(AVERAGEIFS(PO_Data[OTIF],PO_Data[supplier_name],$A30,PO_Data[Order_Year],$B$3),"")</f>
        <v/>
      </c>
      <c r="D30" s="101" t="str">
        <f>IFERROR(SUMIFS(Receiving_Data[qty_rejected],Receiving_Data[supplier_name],$A30,Receiving_Data[Receipt_Year],$B$3)/SUMIFS(Receiving_Data[qty_received],Receiving_Data[supplier_name],$A30,Receiving_Data[Receipt_Year],$B$3)*1000000,"")</f>
        <v/>
      </c>
      <c r="E30" s="100" t="str">
        <f>IFERROR(SUMIFS(PO_Data[PPV_USD],PO_Data[supplier_name],$A30,PO_Data[Order_Year],$B$3)/SUMIFS(PO_Data[Std_Value_USD],PO_Data[supplier_name],$A30,PO_Data[Order_Year],$B$3),"")</f>
        <v/>
      </c>
      <c r="F30" s="100" t="str" cm="1">
        <f t="array" ref="F30">IFERROR(_xlfn.STDEV.S(_xlfn._xlws.FILTER(PO_Data[Lead_Time_Days],(PO_Data[supplier_name]=$A30)*(PO_Data[Order_Year]=$B$3)))/AVERAGEIFS(PO_Data[Lead_Time_Days],PO_Data[supplier_name],$A30,PO_Data[Order_Year],$B$3),"")</f>
        <v/>
      </c>
      <c r="G30" s="99" t="str">
        <f>IF(C30="","",IF(C30&gt;=$E$5,100,IF(C30&gt;=$F$5,75,IF(C30&gt;=$G$5,50,IF(C30&gt;=$H$5,25,0)))))</f>
        <v/>
      </c>
      <c r="H30" s="99" t="str">
        <f>IF(D30="","",IF(D30&lt;=$E$6,100,IF(D30&lt;=$F$6,75,IF(D30&lt;=$G$6,50,IF(D30&lt;=$H$6,25,0)))))</f>
        <v/>
      </c>
      <c r="I30" s="99" t="str">
        <f>IF(E30="","",IF(E30&lt;=$E$7,100,IF(E30&lt;=$F$7,75,IF(E30&lt;=$G$7,50,IF(E30&lt;=$H$7,25,0)))))</f>
        <v/>
      </c>
      <c r="J30" s="99" t="str">
        <f>IF(F30="","",IF(F30&lt;=$E$8,100,IF(F30&lt;=$F$8,75,IF(F30&lt;=$G$8,50,IF(F30&lt;=$H$8,25,0)))))</f>
        <v/>
      </c>
      <c r="K30" s="102" t="str">
        <f>IFERROR((G30*$B$5+H30*$B$6+I30*$B$7+J30*$B$8)/SUM($B$5:$B$8),"")</f>
        <v/>
      </c>
      <c r="L30" s="103" t="str">
        <f>IF(OR(B30&lt;$B$10,K30=""),"Not enough data",IF(K30&gt;=$E$9,"A",IF(K30&gt;=$F$9,"B",IF(K30&gt;=$G$9,"C","D"))))</f>
        <v>Not enough data</v>
      </c>
      <c r="M30" s="99" t="str">
        <f>IF(OR(L30="Not enough data",K30=""),"",COUNTIFS($K$15:$K$33,"&gt;"&amp;K30,$B$15:$B$33,"&gt;="&amp;$B$10)+1)</f>
        <v/>
      </c>
      <c r="N30" s="98" t="str">
        <f>IF(AND(ISNUMBER(D30),D30&gt;$E$10),"Corrective action","")</f>
        <v/>
      </c>
      <c r="P30" s="93" t="str">
        <v>Penang Bond Materials</v>
      </c>
      <c r="Q30" s="99">
        <v>20.0</v>
      </c>
      <c r="R30" s="100">
        <v>0.75</v>
      </c>
      <c r="S30" s="101">
        <v>1191.1195601328827</v>
      </c>
      <c r="T30" s="100">
        <v>0.01380227934214347</v>
      </c>
      <c r="U30" s="100">
        <v>0.14673326667501307</v>
      </c>
      <c r="V30" s="99">
        <v>0.0</v>
      </c>
      <c r="W30" s="99">
        <v>0.0</v>
      </c>
      <c r="X30" s="99">
        <v>50.0</v>
      </c>
      <c r="Y30" s="99">
        <v>75.0</v>
      </c>
      <c r="Z30" s="102">
        <v>17.500000000000004</v>
      </c>
      <c r="AA30" s="103" t="str">
        <v>D</v>
      </c>
      <c r="AB30" s="99">
        <v>16.0</v>
      </c>
      <c r="AC30" s="98" t="str">
        <v>Corrective action</v>
      </c>
    </row>
    <row r="31">
      <c r="A31" s="93" t="inlineStr">
        <is>
          <t xml:space="preserve">Sakura Targets</t>
        </is>
      </c>
      <c r="B31" s="99">
        <f>COUNTIFS(PO_Data[supplier_name],$A31,PO_Data[Order_Year],$B$3)</f>
        <v>9.0</v>
      </c>
      <c r="C31" s="100">
        <f>IFERROR(AVERAGEIFS(PO_Data[OTIF],PO_Data[supplier_name],$A31,PO_Data[Order_Year],$B$3),"")</f>
        <v>1.0</v>
      </c>
      <c r="D31" s="101">
        <f>IFERROR(SUMIFS(Receiving_Data[qty_rejected],Receiving_Data[supplier_name],$A31,Receiving_Data[Receipt_Year],$B$3)/SUMIFS(Receiving_Data[qty_received],Receiving_Data[supplier_name],$A31,Receiving_Data[Receipt_Year],$B$3)*1000000,"")</f>
        <v>0.0</v>
      </c>
      <c r="E31" s="100">
        <f>IFERROR(SUMIFS(PO_Data[PPV_USD],PO_Data[supplier_name],$A31,PO_Data[Order_Year],$B$3)/SUMIFS(PO_Data[Std_Value_USD],PO_Data[supplier_name],$A31,PO_Data[Order_Year],$B$3),"")</f>
        <v>0.017525992989484204</v>
      </c>
      <c r="F31" s="100" cm="1">
        <f t="array" ref="F31">IFERROR(_xlfn.STDEV.S(_xlfn._xlws.FILTER(PO_Data[Lead_Time_Days],(PO_Data[supplier_name]=$A31)*(PO_Data[Order_Year]=$B$3)))/AVERAGEIFS(PO_Data[Lead_Time_Days],PO_Data[supplier_name],$A31,PO_Data[Order_Year],$B$3),"")</f>
        <v>0.014993979433114962</v>
      </c>
      <c r="G31" s="99">
        <f>IF(C31="","",IF(C31&gt;=$E$5,100,IF(C31&gt;=$F$5,75,IF(C31&gt;=$G$5,50,IF(C31&gt;=$H$5,25,0)))))</f>
        <v>100.0</v>
      </c>
      <c r="H31" s="99">
        <f>IF(D31="","",IF(D31&lt;=$E$6,100,IF(D31&lt;=$F$6,75,IF(D31&lt;=$G$6,50,IF(D31&lt;=$H$6,25,0)))))</f>
        <v>100.0</v>
      </c>
      <c r="I31" s="99">
        <f>IF(E31="","",IF(E31&lt;=$E$7,100,IF(E31&lt;=$F$7,75,IF(E31&lt;=$G$7,50,IF(E31&lt;=$H$7,25,0)))))</f>
        <v>50.0</v>
      </c>
      <c r="J31" s="99">
        <f>IF(F31="","",IF(F31&lt;=$E$8,100,IF(F31&lt;=$F$8,75,IF(F31&lt;=$G$8,50,IF(F31&lt;=$H$8,25,0)))))</f>
        <v>100.0</v>
      </c>
      <c r="K31" s="102">
        <f>IFERROR((G31*$B$5+H31*$B$6+I31*$B$7+J31*$B$8)/SUM($B$5:$B$8),"")</f>
        <v>90.00000000000001</v>
      </c>
      <c r="L31" s="103" t="str">
        <f>IF(OR(B31&lt;$B$10,K31=""),"Not enough data",IF(K31&gt;=$E$9,"A",IF(K31&gt;=$F$9,"B",IF(K31&gt;=$G$9,"C","D"))))</f>
        <v>A</v>
      </c>
      <c r="M31" s="99">
        <f>IF(OR(L31="Not enough data",K31=""),"",COUNTIFS($K$15:$K$33,"&gt;"&amp;K31,$B$15:$B$33,"&gt;="&amp;$B$10)+1)</f>
        <v>1.0</v>
      </c>
      <c r="N31" s="98" t="str">
        <f>IF(AND(ISNUMBER(D31),D31&gt;$E$10),"Corrective action","")</f>
        <v/>
      </c>
      <c r="P31" s="93" t="str">
        <v>Taoyuan Fine Chemicals</v>
      </c>
      <c r="Q31" s="99">
        <v>17.0</v>
      </c>
      <c r="R31" s="100">
        <v>0.6470588235294118</v>
      </c>
      <c r="S31" s="101">
        <v>1510.4193276454134</v>
      </c>
      <c r="T31" s="100">
        <v>0.01758048081484168</v>
      </c>
      <c r="U31" s="100">
        <v>0.37130383134870487</v>
      </c>
      <c r="V31" s="99">
        <v>0.0</v>
      </c>
      <c r="W31" s="99">
        <v>0.0</v>
      </c>
      <c r="X31" s="99">
        <v>50.0</v>
      </c>
      <c r="Y31" s="99">
        <v>25.0</v>
      </c>
      <c r="Z31" s="102">
        <v>12.500000000000002</v>
      </c>
      <c r="AA31" s="103" t="str">
        <v>D</v>
      </c>
      <c r="AB31" s="99">
        <v>17.0</v>
      </c>
      <c r="AC31" s="98" t="str">
        <v>Corrective action</v>
      </c>
    </row>
    <row r="32">
      <c r="A32" s="93" t="inlineStr">
        <is>
          <t xml:space="preserve">Taoyuan Fine Chemicals</t>
        </is>
      </c>
      <c r="B32" s="99">
        <f>COUNTIFS(PO_Data[supplier_name],$A32,PO_Data[Order_Year],$B$3)</f>
        <v>17.0</v>
      </c>
      <c r="C32" s="100">
        <f>IFERROR(AVERAGEIFS(PO_Data[OTIF],PO_Data[supplier_name],$A32,PO_Data[Order_Year],$B$3),"")</f>
        <v>0.6470588235294118</v>
      </c>
      <c r="D32" s="101">
        <f>IFERROR(SUMIFS(Receiving_Data[qty_rejected],Receiving_Data[supplier_name],$A32,Receiving_Data[Receipt_Year],$B$3)/SUMIFS(Receiving_Data[qty_received],Receiving_Data[supplier_name],$A32,Receiving_Data[Receipt_Year],$B$3)*1000000,"")</f>
        <v>1510.4193276454134</v>
      </c>
      <c r="E32" s="100">
        <f>IFERROR(SUMIFS(PO_Data[PPV_USD],PO_Data[supplier_name],$A32,PO_Data[Order_Year],$B$3)/SUMIFS(PO_Data[Std_Value_USD],PO_Data[supplier_name],$A32,PO_Data[Order_Year],$B$3),"")</f>
        <v>0.01758048081484168</v>
      </c>
      <c r="F32" s="100" cm="1">
        <f t="array" ref="F32">IFERROR(_xlfn.STDEV.S(_xlfn._xlws.FILTER(PO_Data[Lead_Time_Days],(PO_Data[supplier_name]=$A32)*(PO_Data[Order_Year]=$B$3)))/AVERAGEIFS(PO_Data[Lead_Time_Days],PO_Data[supplier_name],$A32,PO_Data[Order_Year],$B$3),"")</f>
        <v>0.37130383134870487</v>
      </c>
      <c r="G32" s="99">
        <f>IF(C32="","",IF(C32&gt;=$E$5,100,IF(C32&gt;=$F$5,75,IF(C32&gt;=$G$5,50,IF(C32&gt;=$H$5,25,0)))))</f>
        <v>0.0</v>
      </c>
      <c r="H32" s="99">
        <f>IF(D32="","",IF(D32&lt;=$E$6,100,IF(D32&lt;=$F$6,75,IF(D32&lt;=$G$6,50,IF(D32&lt;=$H$6,25,0)))))</f>
        <v>0.0</v>
      </c>
      <c r="I32" s="99">
        <f>IF(E32="","",IF(E32&lt;=$E$7,100,IF(E32&lt;=$F$7,75,IF(E32&lt;=$G$7,50,IF(E32&lt;=$H$7,25,0)))))</f>
        <v>50.0</v>
      </c>
      <c r="J32" s="99">
        <f>IF(F32="","",IF(F32&lt;=$E$8,100,IF(F32&lt;=$F$8,75,IF(F32&lt;=$G$8,50,IF(F32&lt;=$H$8,25,0)))))</f>
        <v>25.0</v>
      </c>
      <c r="K32" s="102">
        <f>IFERROR((G32*$B$5+H32*$B$6+I32*$B$7+J32*$B$8)/SUM($B$5:$B$8),"")</f>
        <v>12.500000000000002</v>
      </c>
      <c r="L32" s="103" t="str">
        <f>IF(OR(B32&lt;$B$10,K32=""),"Not enough data",IF(K32&gt;=$E$9,"A",IF(K32&gt;=$F$9,"B",IF(K32&gt;=$G$9,"C","D"))))</f>
        <v>D</v>
      </c>
      <c r="M32" s="99">
        <f>IF(OR(L32="Not enough data",K32=""),"",COUNTIFS($K$15:$K$33,"&gt;"&amp;K32,$B$15:$B$33,"&gt;="&amp;$B$10)+1)</f>
        <v>17.0</v>
      </c>
      <c r="N32" s="98" t="str">
        <f>IF(AND(ISNUMBER(D32),D32&gt;$E$10),"Corrective action","")</f>
        <v>Corrective action</v>
      </c>
      <c r="P32" s="93"/>
      <c r="Q32" s="99"/>
      <c r="R32" s="100"/>
      <c r="S32" s="101"/>
      <c r="T32" s="100"/>
      <c r="U32" s="100"/>
      <c r="V32" s="99"/>
      <c r="W32" s="99"/>
      <c r="X32" s="99"/>
      <c r="Y32" s="99"/>
      <c r="Z32" s="102"/>
      <c r="AA32" s="103"/>
      <c r="AB32" s="99"/>
      <c r="AC32" s="98"/>
    </row>
    <row r="33">
      <c r="A33" s="93" t="inlineStr">
        <is>
          <t xml:space="preserve">Veldhoven Litho Service</t>
        </is>
      </c>
      <c r="B33" s="99">
        <f>COUNTIFS(PO_Data[supplier_name],$A33,PO_Data[Order_Year],$B$3)</f>
        <v>11.0</v>
      </c>
      <c r="C33" s="100">
        <f>IFERROR(AVERAGEIFS(PO_Data[OTIF],PO_Data[supplier_name],$A33,PO_Data[Order_Year],$B$3),"")</f>
        <v>0.9090909090909091</v>
      </c>
      <c r="D33" s="101">
        <f>IFERROR(SUMIFS(Receiving_Data[qty_rejected],Receiving_Data[supplier_name],$A33,Receiving_Data[Receipt_Year],$B$3)/SUMIFS(Receiving_Data[qty_received],Receiving_Data[supplier_name],$A33,Receiving_Data[Receipt_Year],$B$3)*1000000,"")</f>
        <v>0.0</v>
      </c>
      <c r="E33" s="100">
        <f>IFERROR(SUMIFS(PO_Data[PPV_USD],PO_Data[supplier_name],$A33,PO_Data[Order_Year],$B$3)/SUMIFS(PO_Data[Std_Value_USD],PO_Data[supplier_name],$A33,PO_Data[Order_Year],$B$3),"")</f>
        <v>0.0356351282695863</v>
      </c>
      <c r="F33" s="100" cm="1">
        <f t="array" ref="F33">IFERROR(_xlfn.STDEV.S(_xlfn._xlws.FILTER(PO_Data[Lead_Time_Days],(PO_Data[supplier_name]=$A33)*(PO_Data[Order_Year]=$B$3)))/AVERAGEIFS(PO_Data[Lead_Time_Days],PO_Data[supplier_name],$A33,PO_Data[Order_Year],$B$3),"")</f>
        <v>0.3134696843767586</v>
      </c>
      <c r="G33" s="99">
        <f>IF(C33="","",IF(C33&gt;=$E$5,100,IF(C33&gt;=$F$5,75,IF(C33&gt;=$G$5,50,IF(C33&gt;=$H$5,25,0)))))</f>
        <v>75.0</v>
      </c>
      <c r="H33" s="99">
        <f>IF(D33="","",IF(D33&lt;=$E$6,100,IF(D33&lt;=$F$6,75,IF(D33&lt;=$G$6,50,IF(D33&lt;=$H$6,25,0)))))</f>
        <v>100.0</v>
      </c>
      <c r="I33" s="99">
        <f>IF(E33="","",IF(E33&lt;=$E$7,100,IF(E33&lt;=$F$7,75,IF(E33&lt;=$G$7,50,IF(E33&lt;=$H$7,25,0)))))</f>
        <v>0.0</v>
      </c>
      <c r="J33" s="99">
        <f>IF(F33="","",IF(F33&lt;=$E$8,100,IF(F33&lt;=$F$8,75,IF(F33&lt;=$G$8,50,IF(F33&lt;=$H$8,25,0)))))</f>
        <v>25.0</v>
      </c>
      <c r="K33" s="102">
        <f>IFERROR((G33*$B$5+H33*$B$6+I33*$B$7+J33*$B$8)/SUM($B$5:$B$8),"")</f>
        <v>63.75000000000001</v>
      </c>
      <c r="L33" s="103" t="str">
        <f>IF(OR(B33&lt;$B$10,K33=""),"Not enough data",IF(K33&gt;=$E$9,"A",IF(K33&gt;=$F$9,"B",IF(K33&gt;=$G$9,"C","D"))))</f>
        <v>D</v>
      </c>
      <c r="M33" s="99">
        <f>IF(OR(L33="Not enough data",K33=""),"",COUNTIFS($K$15:$K$33,"&gt;"&amp;K33,$B$15:$B$33,"&gt;="&amp;$B$10)+1)</f>
        <v>6.0</v>
      </c>
      <c r="N33" s="98" t="str">
        <f>IF(AND(ISNUMBER(D33),D33&gt;$E$10),"Corrective action","")</f>
        <v/>
      </c>
      <c r="P33" s="93"/>
      <c r="Q33" s="99"/>
      <c r="R33" s="100"/>
      <c r="S33" s="101"/>
      <c r="T33" s="100"/>
      <c r="U33" s="100"/>
      <c r="V33" s="99"/>
      <c r="W33" s="99"/>
      <c r="X33" s="99"/>
      <c r="Y33" s="99"/>
      <c r="Z33" s="102"/>
      <c r="AA33" s="103"/>
      <c r="AB33" s="99"/>
      <c r="AC33" s="98"/>
    </row>
  </sheetData>
  <conditionalFormatting sqref="L15:L33 AA15:AA33">
    <cfRule type="cellIs" dxfId="169" priority="1" operator="equal">
      <formula>"A"</formula>
    </cfRule>
    <cfRule type="cellIs" dxfId="170" priority="2" operator="equal">
      <formula>"B"</formula>
    </cfRule>
    <cfRule type="cellIs" dxfId="171" priority="3" operator="equal">
      <formula>"C"</formula>
    </cfRule>
    <cfRule type="cellIs" dxfId="172" priority="4" operator="equal">
      <formula>"D"</formula>
    </cfRule>
    <cfRule type="cellIs" dxfId="173" priority="5" operator="equal">
      <formula>"Not enough data"</formula>
    </cfRule>
  </conditionalFormatting>
  <conditionalFormatting sqref="N15:N33 AC15:AC33">
    <cfRule type="cellIs" dxfId="174" priority="6" operator="equal">
      <formula>"Corrective action"</formula>
    </cfRule>
  </conditionalFormatting>
  <conditionalFormatting sqref="B9">
    <cfRule type="expression" dxfId="172" priority="7">
      <formula>ROUND($B$9,4)&lt;&gt;1</formula>
    </cfRule>
  </conditionalFormatting>
  <dataValidations count="1">
    <dataValidation type="list" allowBlank="1" showErrorMessage="1" sqref="B3">
      <formula1>"2024,2025"</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03A8D9E-DF0E-4785-8C20-25A910CB7C0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RFQ_Data</vt:lpstr>
      <vt:lpstr>PO_Data</vt:lpstr>
      <vt:lpstr>Receiving_Data</vt:lpstr>
      <vt:lpstr>Sourcing_Data</vt:lpstr>
      <vt:lpstr>OTD_OTIF</vt:lpstr>
      <vt:lpstr>Lead_Time</vt:lpstr>
      <vt:lpstr>PPM</vt:lpstr>
      <vt:lpstr>PPV</vt:lpstr>
      <vt:lpstr>Savings</vt:lpstr>
      <vt:lpstr>TCO_Evaluator</vt:lpstr>
      <vt:lpstr>Scorecard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kunj patel</dc:creator>
  <cp:lastModifiedBy>kunj patel</cp:lastModifiedBy>
  <dcterms:created xsi:type="dcterms:W3CDTF">2026-10-11T02:37:26Z</dcterms:created>
  <dcterms:modified xsi:type="dcterms:W3CDTF">2026-10-12T23:46:10Z</dcterms:modified>
</cp:coreProperties>
</file>